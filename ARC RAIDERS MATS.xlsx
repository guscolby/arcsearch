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Downloads\ARC RAIDERS MATS SEARCH\"/>
    </mc:Choice>
  </mc:AlternateContent>
  <xr:revisionPtr revIDLastSave="0" documentId="13_ncr:1_{293CB56E-2790-4269-BD7D-3F46784E1F7F}" xr6:coauthVersionLast="47" xr6:coauthVersionMax="47" xr10:uidLastSave="{00000000-0000-0000-0000-000000000000}"/>
  <bookViews>
    <workbookView xWindow="-120" yWindow="-120" windowWidth="38640" windowHeight="21240" xr2:uid="{D73C78FF-6DC0-4571-9144-E024C4A79F76}"/>
  </bookViews>
  <sheets>
    <sheet name="PowerDashboard" sheetId="12" r:id="rId1"/>
    <sheet name="01_Craftable" sheetId="6" r:id="rId2"/>
    <sheet name="02_Location" sheetId="4" r:id="rId3"/>
    <sheet name="03_Component" sheetId="5" r:id="rId4"/>
    <sheet name="04_ComponentUsage" sheetId="8" r:id="rId5"/>
    <sheet name="05_ComponentLocation" sheetId="7" r:id="rId6"/>
    <sheet name="06_DismantleResults" sheetId="9" r:id="rId7"/>
    <sheet name="Dashboard" sheetId="11" state="hidden" r:id="rId8"/>
  </sheets>
  <definedNames>
    <definedName name="CraftableID">'01_Craftable'!$B:$B</definedName>
    <definedName name="CraftableName">'01_Craftable'!$C:$C</definedName>
    <definedName name="LocationID">'02_Location'!$A:$A</definedName>
    <definedName name="LocationName">'02_Location'!$B:$B</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0" i="8" l="1" a="1"/>
  <c r="A60" i="8" s="1"/>
  <c r="A61" i="8" a="1"/>
  <c r="A61" i="8" s="1"/>
  <c r="A62" i="8" a="1"/>
  <c r="A62" i="8" s="1"/>
  <c r="A63" i="8" a="1"/>
  <c r="A63" i="8"/>
  <c r="A64" i="8" a="1"/>
  <c r="A64" i="8"/>
  <c r="A65" i="8" a="1"/>
  <c r="A65" i="8" s="1"/>
  <c r="A66" i="8" a="1"/>
  <c r="A66" i="8" s="1"/>
  <c r="A67" i="8" a="1"/>
  <c r="A67" i="8" s="1"/>
  <c r="A68" i="8" a="1"/>
  <c r="A68" i="8"/>
  <c r="A69" i="8" a="1"/>
  <c r="A69" i="8"/>
  <c r="A70" i="8" a="1"/>
  <c r="A70" i="8"/>
  <c r="A71" i="8" a="1"/>
  <c r="A71" i="8" s="1"/>
  <c r="A72" i="8" a="1"/>
  <c r="A72" i="8" s="1"/>
  <c r="A73" i="8" a="1"/>
  <c r="A73" i="8" s="1"/>
  <c r="A74" i="8" a="1"/>
  <c r="A74" i="8" s="1"/>
  <c r="A75" i="8" a="1"/>
  <c r="A75" i="8"/>
  <c r="A76" i="8" a="1"/>
  <c r="A76" i="8"/>
  <c r="A77" i="8" a="1"/>
  <c r="A77" i="8" s="1"/>
  <c r="A78" i="8" a="1"/>
  <c r="A78" i="8" s="1"/>
  <c r="A79" i="8" a="1"/>
  <c r="A79" i="8" s="1"/>
  <c r="A80" i="8" a="1"/>
  <c r="A80" i="8" s="1"/>
  <c r="A81" i="8" a="1"/>
  <c r="A81" i="8"/>
  <c r="A82" i="8" a="1"/>
  <c r="A82" i="8"/>
  <c r="A83" i="8" a="1"/>
  <c r="A83" i="8" s="1"/>
  <c r="A84" i="8" a="1"/>
  <c r="A84" i="8" s="1"/>
  <c r="A85" i="8" a="1"/>
  <c r="A85" i="8" s="1"/>
  <c r="A86" i="8" a="1"/>
  <c r="A86" i="8" s="1"/>
  <c r="A87" i="8" a="1"/>
  <c r="A87" i="8" s="1"/>
  <c r="A88" i="8" a="1"/>
  <c r="A88" i="8"/>
  <c r="A89" i="8" a="1"/>
  <c r="A89" i="8" s="1"/>
  <c r="A90" i="8" a="1"/>
  <c r="A90" i="8" s="1"/>
  <c r="A91" i="8" a="1"/>
  <c r="A91" i="8" s="1"/>
  <c r="A92" i="8" a="1"/>
  <c r="A92" i="8" s="1"/>
  <c r="A93" i="8" a="1"/>
  <c r="A93" i="8"/>
  <c r="A94" i="8" a="1"/>
  <c r="A94" i="8"/>
  <c r="A95" i="8" a="1"/>
  <c r="A95" i="8" s="1"/>
  <c r="A96" i="8" a="1"/>
  <c r="A96" i="8" s="1"/>
  <c r="A97" i="8" a="1"/>
  <c r="A97" i="8" s="1"/>
  <c r="A98" i="8" a="1"/>
  <c r="A98" i="8" s="1"/>
  <c r="A99" i="8" a="1"/>
  <c r="A99" i="8"/>
  <c r="A100" i="8" a="1"/>
  <c r="A100" i="8"/>
  <c r="A101" i="8" a="1"/>
  <c r="A101" i="8" s="1"/>
  <c r="A102" i="8" a="1"/>
  <c r="A102" i="8" s="1"/>
  <c r="A103" i="8" a="1"/>
  <c r="A103" i="8" s="1"/>
  <c r="A104" i="8" a="1"/>
  <c r="A104" i="8" s="1"/>
  <c r="A105" i="8" a="1"/>
  <c r="A105" i="8"/>
  <c r="A106" i="8" a="1"/>
  <c r="A106" i="8"/>
  <c r="A107" i="8" a="1"/>
  <c r="A107" i="8" s="1"/>
  <c r="A108" i="8" a="1"/>
  <c r="A108" i="8" s="1"/>
  <c r="A109" i="8" a="1"/>
  <c r="A109" i="8" s="1"/>
  <c r="A110" i="8" a="1"/>
  <c r="A110" i="8" s="1"/>
  <c r="A111" i="8" a="1"/>
  <c r="A111" i="8"/>
  <c r="A112" i="8" a="1"/>
  <c r="A112" i="8"/>
  <c r="A113" i="8" a="1"/>
  <c r="A113" i="8" s="1"/>
  <c r="A114" i="8" a="1"/>
  <c r="A114" i="8" s="1"/>
  <c r="A115" i="8" a="1"/>
  <c r="A115" i="8" s="1"/>
  <c r="A116" i="8" a="1"/>
  <c r="A116" i="8" s="1"/>
  <c r="A117" i="8" a="1"/>
  <c r="A117" i="8"/>
  <c r="A118" i="8" a="1"/>
  <c r="A118" i="8"/>
  <c r="A119" i="8" a="1"/>
  <c r="A119" i="8" s="1"/>
  <c r="A120" i="8" a="1"/>
  <c r="A120" i="8" s="1"/>
  <c r="A121" i="8" a="1"/>
  <c r="A121" i="8"/>
  <c r="A122" i="8" a="1"/>
  <c r="A122" i="8" s="1"/>
  <c r="A123" i="8" a="1"/>
  <c r="A123" i="8"/>
  <c r="A124" i="8" a="1"/>
  <c r="A124" i="8"/>
  <c r="A125" i="8" a="1"/>
  <c r="A125" i="8" s="1"/>
  <c r="A126" i="8" a="1"/>
  <c r="A126" i="8" s="1"/>
  <c r="A127" i="8" a="1"/>
  <c r="A127" i="8"/>
  <c r="A128" i="8" a="1"/>
  <c r="A128" i="8" s="1"/>
  <c r="A129" i="8" a="1"/>
  <c r="A129" i="8"/>
  <c r="A130" i="8" a="1"/>
  <c r="A130" i="8"/>
  <c r="A131" i="8" a="1"/>
  <c r="A131" i="8" s="1"/>
  <c r="A132" i="8" a="1"/>
  <c r="A132" i="8" s="1"/>
  <c r="A133" i="8" a="1"/>
  <c r="A133" i="8"/>
  <c r="A134" i="8" a="1"/>
  <c r="A134" i="8" s="1"/>
  <c r="A135" i="8" a="1"/>
  <c r="A135" i="8"/>
  <c r="A136" i="8" a="1"/>
  <c r="A136" i="8"/>
  <c r="A137" i="8" a="1"/>
  <c r="A137" i="8" s="1"/>
  <c r="A138" i="8" a="1"/>
  <c r="A138" i="8" s="1"/>
  <c r="A139" i="8" a="1"/>
  <c r="A139" i="8" s="1"/>
  <c r="A140" i="8" a="1"/>
  <c r="A140" i="8" s="1"/>
  <c r="A141" i="8" a="1"/>
  <c r="A141" i="8"/>
  <c r="A142" i="8" a="1"/>
  <c r="A142" i="8"/>
  <c r="A143" i="8" a="1"/>
  <c r="A143" i="8" s="1"/>
  <c r="A144" i="8" a="1"/>
  <c r="A144" i="8" s="1"/>
  <c r="A145" i="8" a="1"/>
  <c r="A145" i="8" s="1"/>
  <c r="A146" i="8" a="1"/>
  <c r="A146" i="8" s="1"/>
  <c r="A147" i="8" a="1"/>
  <c r="A147" i="8"/>
  <c r="A148" i="8" a="1"/>
  <c r="A148" i="8"/>
  <c r="A149" i="8" a="1"/>
  <c r="A149" i="8" s="1"/>
  <c r="A150" i="8" a="1"/>
  <c r="A150" i="8" s="1"/>
  <c r="A151" i="8" a="1"/>
  <c r="A151" i="8" s="1"/>
  <c r="A152" i="8" a="1"/>
  <c r="A152" i="8" s="1"/>
  <c r="A153" i="8" a="1"/>
  <c r="A153" i="8"/>
  <c r="A154" i="8" a="1"/>
  <c r="A154" i="8"/>
  <c r="A155" i="8" a="1"/>
  <c r="A155" i="8" s="1"/>
  <c r="A156" i="8" a="1"/>
  <c r="A156" i="8" s="1"/>
  <c r="A157" i="8" a="1"/>
  <c r="A157" i="8" s="1"/>
  <c r="A158" i="8" a="1"/>
  <c r="A158" i="8" s="1"/>
  <c r="A159" i="8" a="1"/>
  <c r="A159" i="8"/>
  <c r="A160" i="8" a="1"/>
  <c r="A160" i="8"/>
  <c r="A161" i="8" a="1"/>
  <c r="A161" i="8" s="1"/>
  <c r="A162" i="8" a="1"/>
  <c r="A162" i="8" s="1"/>
  <c r="A163" i="8" a="1"/>
  <c r="A163" i="8" s="1"/>
  <c r="A164" i="8" a="1"/>
  <c r="A164" i="8" s="1"/>
  <c r="A165" i="8" a="1"/>
  <c r="A165" i="8"/>
  <c r="A166" i="8" a="1"/>
  <c r="A166" i="8"/>
  <c r="A167" i="8" a="1"/>
  <c r="A167" i="8" s="1"/>
  <c r="A168" i="8" a="1"/>
  <c r="A168" i="8" s="1"/>
  <c r="A169" i="8" a="1"/>
  <c r="A169" i="8" s="1"/>
  <c r="A170" i="8" a="1"/>
  <c r="A170" i="8" s="1"/>
  <c r="A171" i="8" a="1"/>
  <c r="A171" i="8"/>
  <c r="A172" i="8" a="1"/>
  <c r="A172" i="8"/>
  <c r="A173" i="8" a="1"/>
  <c r="A173" i="8" s="1"/>
  <c r="A174" i="8" a="1"/>
  <c r="A174" i="8" s="1"/>
  <c r="A175" i="8" a="1"/>
  <c r="A175" i="8" s="1"/>
  <c r="A176" i="8" a="1"/>
  <c r="A176" i="8" s="1"/>
  <c r="A177" i="8" a="1"/>
  <c r="A177" i="8"/>
  <c r="A178" i="8" a="1"/>
  <c r="A178" i="8"/>
  <c r="A179" i="8" a="1"/>
  <c r="A179" i="8" s="1"/>
  <c r="A180" i="8" a="1"/>
  <c r="A180" i="8" s="1"/>
  <c r="A181" i="8" a="1"/>
  <c r="A181" i="8" s="1"/>
  <c r="A182" i="8" a="1"/>
  <c r="A182" i="8" s="1"/>
  <c r="A183" i="8" a="1"/>
  <c r="A183" i="8"/>
  <c r="A59" i="8" a="1"/>
  <c r="A59" i="8" s="1"/>
  <c r="B183" i="8"/>
  <c r="C183" i="8"/>
  <c r="B182" i="8"/>
  <c r="C182" i="8"/>
  <c r="B181" i="8"/>
  <c r="C181" i="8"/>
  <c r="B180" i="8"/>
  <c r="C180" i="8"/>
  <c r="B179" i="8"/>
  <c r="C179" i="8"/>
  <c r="B178" i="8"/>
  <c r="C178" i="8"/>
  <c r="B177" i="8"/>
  <c r="C177" i="8"/>
  <c r="B176" i="8"/>
  <c r="C176" i="8"/>
  <c r="B175" i="8"/>
  <c r="C175" i="8"/>
  <c r="B174" i="8"/>
  <c r="C174" i="8"/>
  <c r="B173" i="8"/>
  <c r="C173" i="8"/>
  <c r="B172" i="8"/>
  <c r="C172" i="8"/>
  <c r="B171" i="8"/>
  <c r="C171" i="8"/>
  <c r="B170" i="8"/>
  <c r="C170" i="8"/>
  <c r="B169" i="8"/>
  <c r="C169" i="8"/>
  <c r="B168" i="8"/>
  <c r="C168" i="8"/>
  <c r="B167" i="8"/>
  <c r="C167" i="8"/>
  <c r="B166" i="8"/>
  <c r="C166" i="8"/>
  <c r="B165" i="8"/>
  <c r="C165" i="8"/>
  <c r="B164" i="8"/>
  <c r="C164" i="8"/>
  <c r="B163" i="8"/>
  <c r="C163" i="8"/>
  <c r="B162" i="8"/>
  <c r="C162" i="8"/>
  <c r="B161" i="8"/>
  <c r="C161" i="8"/>
  <c r="B160" i="8"/>
  <c r="C160" i="8"/>
  <c r="B159" i="8"/>
  <c r="C159" i="8"/>
  <c r="B158" i="8"/>
  <c r="C158" i="8"/>
  <c r="B157" i="8"/>
  <c r="C157" i="8"/>
  <c r="B156" i="8"/>
  <c r="C156" i="8"/>
  <c r="B155" i="8"/>
  <c r="C155" i="8"/>
  <c r="B154" i="8"/>
  <c r="C154" i="8"/>
  <c r="B153" i="8"/>
  <c r="C153" i="8"/>
  <c r="B152" i="8"/>
  <c r="C152" i="8"/>
  <c r="B151" i="8"/>
  <c r="C151" i="8"/>
  <c r="B150" i="8"/>
  <c r="C150" i="8"/>
  <c r="B149" i="8"/>
  <c r="C149" i="8"/>
  <c r="B148" i="8"/>
  <c r="C148" i="8"/>
  <c r="B147" i="8"/>
  <c r="C147" i="8"/>
  <c r="B146" i="8"/>
  <c r="C146" i="8"/>
  <c r="B145" i="8"/>
  <c r="C145" i="8"/>
  <c r="B144" i="8"/>
  <c r="C144" i="8"/>
  <c r="B143" i="8"/>
  <c r="C143" i="8"/>
  <c r="B142" i="8"/>
  <c r="C142" i="8"/>
  <c r="B141" i="8"/>
  <c r="C141" i="8"/>
  <c r="B140" i="8"/>
  <c r="C140" i="8"/>
  <c r="B139" i="8"/>
  <c r="C139" i="8"/>
  <c r="B138" i="8"/>
  <c r="C138" i="8"/>
  <c r="B137" i="8"/>
  <c r="C137" i="8"/>
  <c r="B136" i="8"/>
  <c r="C136" i="8"/>
  <c r="B135" i="8"/>
  <c r="C135" i="8"/>
  <c r="B134" i="8"/>
  <c r="C134" i="8"/>
  <c r="B133" i="8"/>
  <c r="C133" i="8"/>
  <c r="B132" i="8"/>
  <c r="C132" i="8"/>
  <c r="B131" i="8"/>
  <c r="C131" i="8"/>
  <c r="B130" i="8"/>
  <c r="C130" i="8"/>
  <c r="B129" i="8"/>
  <c r="C129" i="8"/>
  <c r="B128" i="8"/>
  <c r="C128" i="8"/>
  <c r="B127" i="8"/>
  <c r="C127" i="8"/>
  <c r="B126" i="8"/>
  <c r="C126" i="8"/>
  <c r="B125" i="8"/>
  <c r="C125" i="8"/>
  <c r="B124" i="8"/>
  <c r="C124" i="8"/>
  <c r="B123" i="8"/>
  <c r="A10" i="12" s="1" a="1"/>
  <c r="A10" i="12" s="1"/>
  <c r="C123" i="8"/>
  <c r="B122" i="8"/>
  <c r="C122" i="8"/>
  <c r="B121" i="8"/>
  <c r="C121" i="8"/>
  <c r="B120" i="8"/>
  <c r="C120" i="8"/>
  <c r="B119" i="8"/>
  <c r="C119" i="8"/>
  <c r="B118" i="8"/>
  <c r="C118" i="8"/>
  <c r="B117" i="8"/>
  <c r="C117" i="8"/>
  <c r="B116" i="8"/>
  <c r="C116" i="8"/>
  <c r="B115" i="8"/>
  <c r="C115" i="8"/>
  <c r="B114" i="8"/>
  <c r="C114" i="8"/>
  <c r="B113" i="8"/>
  <c r="C113" i="8"/>
  <c r="B112" i="8"/>
  <c r="C112" i="8"/>
  <c r="B111" i="8"/>
  <c r="C111" i="8"/>
  <c r="B110" i="8"/>
  <c r="C110" i="8"/>
  <c r="B109" i="8"/>
  <c r="C109" i="8"/>
  <c r="B108" i="8"/>
  <c r="C108" i="8"/>
  <c r="B107" i="8"/>
  <c r="C107" i="8"/>
  <c r="B106" i="8"/>
  <c r="C106" i="8"/>
  <c r="B105" i="8"/>
  <c r="C105" i="8"/>
  <c r="B104" i="8"/>
  <c r="C104" i="8"/>
  <c r="B103" i="8"/>
  <c r="C103" i="8"/>
  <c r="B102" i="8"/>
  <c r="C102" i="8"/>
  <c r="B101" i="8"/>
  <c r="C101" i="8"/>
  <c r="B100" i="8"/>
  <c r="C100" i="8"/>
  <c r="B99" i="8"/>
  <c r="C99" i="8"/>
  <c r="B98" i="8"/>
  <c r="C98" i="8"/>
  <c r="B97" i="8"/>
  <c r="C97" i="8"/>
  <c r="B96" i="8"/>
  <c r="C96" i="8"/>
  <c r="B95" i="8"/>
  <c r="C95" i="8"/>
  <c r="B94" i="8"/>
  <c r="C94" i="8"/>
  <c r="B93" i="8"/>
  <c r="C93" i="8"/>
  <c r="B92" i="8"/>
  <c r="C92" i="8"/>
  <c r="B91" i="8"/>
  <c r="C91" i="8"/>
  <c r="B90" i="8"/>
  <c r="C90" i="8"/>
  <c r="B89" i="8"/>
  <c r="C89" i="8"/>
  <c r="B88" i="8"/>
  <c r="C88" i="8"/>
  <c r="B87" i="8"/>
  <c r="C87" i="8"/>
  <c r="B86" i="8"/>
  <c r="C86" i="8"/>
  <c r="B85" i="8"/>
  <c r="C85" i="8"/>
  <c r="B84" i="8"/>
  <c r="C84" i="8"/>
  <c r="B83" i="8"/>
  <c r="C83" i="8"/>
  <c r="B82" i="8"/>
  <c r="C82" i="8"/>
  <c r="B81" i="8"/>
  <c r="C81" i="8"/>
  <c r="B80" i="8"/>
  <c r="C80" i="8"/>
  <c r="B79" i="8"/>
  <c r="C79" i="8"/>
  <c r="B78" i="8"/>
  <c r="C78" i="8"/>
  <c r="B77" i="8"/>
  <c r="C77" i="8"/>
  <c r="B76" i="8"/>
  <c r="C76" i="8"/>
  <c r="B75" i="8"/>
  <c r="C75" i="8"/>
  <c r="B74" i="8"/>
  <c r="C74" i="8"/>
  <c r="B73" i="8"/>
  <c r="C73" i="8"/>
  <c r="B72" i="8"/>
  <c r="C72" i="8"/>
  <c r="B71" i="8"/>
  <c r="C71" i="8"/>
  <c r="B70" i="8"/>
  <c r="C70" i="8"/>
  <c r="B69" i="8"/>
  <c r="C69" i="8"/>
  <c r="B68" i="8"/>
  <c r="C68" i="8"/>
  <c r="B67" i="8"/>
  <c r="C67" i="8"/>
  <c r="B66" i="8"/>
  <c r="C66" i="8"/>
  <c r="B65" i="8"/>
  <c r="C65" i="8"/>
  <c r="B64" i="8"/>
  <c r="C64" i="8"/>
  <c r="B63" i="8"/>
  <c r="C63" i="8"/>
  <c r="B62" i="8"/>
  <c r="C62" i="8"/>
  <c r="B61" i="8"/>
  <c r="C61" i="8"/>
  <c r="B60" i="8"/>
  <c r="C60" i="8"/>
  <c r="B59" i="8"/>
  <c r="C59" i="8"/>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9" i="6"/>
  <c r="B246" i="9"/>
  <c r="C246" i="9"/>
  <c r="D246" i="9"/>
  <c r="B245" i="9"/>
  <c r="C245" i="9"/>
  <c r="D245" i="9"/>
  <c r="B244" i="9"/>
  <c r="C244" i="9"/>
  <c r="D244" i="9"/>
  <c r="B243" i="9"/>
  <c r="C243" i="9"/>
  <c r="D243" i="9"/>
  <c r="B242" i="9"/>
  <c r="C242" i="9"/>
  <c r="D242" i="9"/>
  <c r="B241" i="9"/>
  <c r="C241" i="9"/>
  <c r="D241" i="9"/>
  <c r="B240" i="9"/>
  <c r="C240" i="9"/>
  <c r="D240" i="9"/>
  <c r="B239" i="9"/>
  <c r="C239" i="9"/>
  <c r="D239" i="9"/>
  <c r="B238" i="9"/>
  <c r="C238" i="9"/>
  <c r="D238" i="9"/>
  <c r="B237" i="9"/>
  <c r="C237" i="9"/>
  <c r="D237" i="9"/>
  <c r="B236" i="9"/>
  <c r="C236" i="9"/>
  <c r="D236" i="9"/>
  <c r="B235" i="9"/>
  <c r="C235" i="9"/>
  <c r="D235" i="9"/>
  <c r="B234" i="9"/>
  <c r="C234" i="9"/>
  <c r="D234" i="9"/>
  <c r="B233" i="9"/>
  <c r="C233" i="9"/>
  <c r="D233" i="9"/>
  <c r="B232" i="9"/>
  <c r="C232" i="9"/>
  <c r="D232" i="9"/>
  <c r="B231" i="9"/>
  <c r="C231" i="9"/>
  <c r="D231" i="9"/>
  <c r="B230" i="9"/>
  <c r="C230" i="9"/>
  <c r="D230" i="9"/>
  <c r="B229" i="9"/>
  <c r="C229" i="9"/>
  <c r="D229" i="9"/>
  <c r="B228" i="9"/>
  <c r="C228" i="9"/>
  <c r="D228" i="9"/>
  <c r="B227" i="9"/>
  <c r="C227" i="9"/>
  <c r="D227" i="9"/>
  <c r="B226" i="9"/>
  <c r="C226" i="9"/>
  <c r="D226" i="9"/>
  <c r="B225" i="9"/>
  <c r="C225" i="9"/>
  <c r="D225" i="9"/>
  <c r="B224" i="9"/>
  <c r="C224" i="9"/>
  <c r="D224" i="9"/>
  <c r="B223" i="9"/>
  <c r="C223" i="9"/>
  <c r="D223" i="9"/>
  <c r="B222" i="9"/>
  <c r="C222" i="9"/>
  <c r="D222" i="9"/>
  <c r="B221" i="9"/>
  <c r="C221" i="9"/>
  <c r="D221" i="9"/>
  <c r="B220" i="9"/>
  <c r="C220" i="9"/>
  <c r="D220" i="9"/>
  <c r="B219" i="9"/>
  <c r="C219" i="9"/>
  <c r="D219" i="9"/>
  <c r="B218" i="9"/>
  <c r="C218" i="9"/>
  <c r="D218" i="9"/>
  <c r="B217" i="9"/>
  <c r="C217" i="9"/>
  <c r="D217" i="9"/>
  <c r="B216" i="9"/>
  <c r="C216" i="9"/>
  <c r="D216" i="9"/>
  <c r="B215" i="9"/>
  <c r="C215" i="9"/>
  <c r="D215" i="9"/>
  <c r="B214" i="9"/>
  <c r="C214" i="9"/>
  <c r="D214" i="9"/>
  <c r="B213" i="9"/>
  <c r="C213" i="9"/>
  <c r="D213" i="9"/>
  <c r="B212" i="9"/>
  <c r="C212" i="9"/>
  <c r="D212" i="9"/>
  <c r="B211" i="9"/>
  <c r="C211" i="9"/>
  <c r="D211" i="9"/>
  <c r="B210" i="9"/>
  <c r="C210" i="9"/>
  <c r="D210" i="9"/>
  <c r="B209" i="9"/>
  <c r="C209" i="9"/>
  <c r="D209" i="9"/>
  <c r="B208" i="9"/>
  <c r="C208" i="9"/>
  <c r="D208" i="9"/>
  <c r="B207" i="9"/>
  <c r="C207" i="9"/>
  <c r="D207" i="9"/>
  <c r="B206" i="9"/>
  <c r="C206" i="9"/>
  <c r="D206" i="9"/>
  <c r="B205" i="9"/>
  <c r="C205" i="9"/>
  <c r="D205" i="9"/>
  <c r="B204" i="9"/>
  <c r="C204" i="9"/>
  <c r="D204" i="9"/>
  <c r="B203" i="9"/>
  <c r="C203" i="9"/>
  <c r="D203" i="9"/>
  <c r="B202" i="9"/>
  <c r="C202" i="9"/>
  <c r="D202" i="9"/>
  <c r="B201" i="9"/>
  <c r="C201" i="9"/>
  <c r="D201" i="9"/>
  <c r="B200" i="9"/>
  <c r="C200" i="9"/>
  <c r="D200" i="9"/>
  <c r="B199" i="9"/>
  <c r="C199" i="9"/>
  <c r="D199" i="9"/>
  <c r="B198" i="9"/>
  <c r="C198" i="9"/>
  <c r="D198" i="9"/>
  <c r="B197" i="9"/>
  <c r="C197" i="9"/>
  <c r="D197" i="9"/>
  <c r="B196" i="9"/>
  <c r="C196" i="9"/>
  <c r="D196" i="9"/>
  <c r="B195" i="9"/>
  <c r="C195" i="9"/>
  <c r="D195" i="9"/>
  <c r="B194" i="9"/>
  <c r="C194" i="9"/>
  <c r="D194" i="9"/>
  <c r="B193" i="9"/>
  <c r="C193" i="9"/>
  <c r="D193" i="9"/>
  <c r="B192" i="9"/>
  <c r="C192" i="9"/>
  <c r="D192" i="9"/>
  <c r="B191" i="9"/>
  <c r="C191" i="9"/>
  <c r="D191" i="9"/>
  <c r="B190" i="9"/>
  <c r="C190" i="9"/>
  <c r="D190" i="9"/>
  <c r="B189" i="9"/>
  <c r="C189" i="9"/>
  <c r="D189" i="9"/>
  <c r="B188" i="9"/>
  <c r="C188" i="9"/>
  <c r="D188" i="9"/>
  <c r="B187" i="9"/>
  <c r="C187" i="9"/>
  <c r="D187" i="9"/>
  <c r="B186" i="9"/>
  <c r="C186" i="9"/>
  <c r="D186" i="9"/>
  <c r="B185" i="9"/>
  <c r="C185" i="9"/>
  <c r="D185" i="9"/>
  <c r="B184" i="9"/>
  <c r="C184" i="9"/>
  <c r="D184" i="9"/>
  <c r="B183" i="9"/>
  <c r="C183" i="9"/>
  <c r="D183" i="9"/>
  <c r="B182" i="9"/>
  <c r="C182" i="9"/>
  <c r="D182" i="9"/>
  <c r="B181" i="9"/>
  <c r="C181" i="9"/>
  <c r="D181" i="9"/>
  <c r="B180" i="9"/>
  <c r="C180" i="9"/>
  <c r="D180" i="9"/>
  <c r="B179" i="9"/>
  <c r="C179" i="9"/>
  <c r="D179" i="9"/>
  <c r="B178" i="9"/>
  <c r="C178" i="9"/>
  <c r="D178" i="9"/>
  <c r="B177" i="9"/>
  <c r="C177" i="9"/>
  <c r="D177" i="9"/>
  <c r="B176" i="9"/>
  <c r="C176" i="9"/>
  <c r="D176" i="9"/>
  <c r="B175" i="9"/>
  <c r="C175" i="9"/>
  <c r="D175" i="9"/>
  <c r="B174" i="9"/>
  <c r="C174" i="9"/>
  <c r="D174" i="9"/>
  <c r="B173" i="9"/>
  <c r="C173" i="9"/>
  <c r="D173" i="9"/>
  <c r="B172" i="9"/>
  <c r="C172" i="9"/>
  <c r="D172" i="9"/>
  <c r="B171" i="9"/>
  <c r="C171" i="9"/>
  <c r="D171" i="9"/>
  <c r="B170" i="9"/>
  <c r="C170" i="9"/>
  <c r="D170" i="9"/>
  <c r="B169" i="9"/>
  <c r="C169" i="9"/>
  <c r="D169" i="9"/>
  <c r="B168" i="9"/>
  <c r="C168" i="9"/>
  <c r="D168" i="9"/>
  <c r="B167" i="9"/>
  <c r="C167" i="9"/>
  <c r="D167" i="9"/>
  <c r="B166" i="9"/>
  <c r="C166" i="9"/>
  <c r="D166" i="9"/>
  <c r="B165" i="9"/>
  <c r="C165" i="9"/>
  <c r="D165" i="9"/>
  <c r="B164" i="9"/>
  <c r="C164" i="9"/>
  <c r="D164" i="9"/>
  <c r="B163" i="9"/>
  <c r="C163" i="9"/>
  <c r="D163" i="9"/>
  <c r="B162" i="9"/>
  <c r="C162" i="9"/>
  <c r="D162" i="9"/>
  <c r="B161" i="9"/>
  <c r="C161" i="9"/>
  <c r="D161" i="9"/>
  <c r="B160" i="9"/>
  <c r="C160" i="9"/>
  <c r="D160" i="9"/>
  <c r="B159" i="9"/>
  <c r="C159" i="9"/>
  <c r="D159" i="9"/>
  <c r="B158" i="9"/>
  <c r="C158" i="9"/>
  <c r="D158" i="9"/>
  <c r="B157" i="9"/>
  <c r="C157" i="9"/>
  <c r="D157" i="9"/>
  <c r="B156" i="9"/>
  <c r="C156" i="9"/>
  <c r="D156" i="9"/>
  <c r="B155" i="9"/>
  <c r="C155" i="9"/>
  <c r="D155" i="9"/>
  <c r="B154" i="9"/>
  <c r="C154" i="9"/>
  <c r="D154" i="9"/>
  <c r="B153" i="9"/>
  <c r="C153" i="9"/>
  <c r="D153" i="9"/>
  <c r="B152" i="9"/>
  <c r="C152" i="9"/>
  <c r="D152" i="9"/>
  <c r="B151" i="9"/>
  <c r="C151" i="9"/>
  <c r="D151" i="9"/>
  <c r="B150" i="9"/>
  <c r="C150" i="9"/>
  <c r="D150" i="9"/>
  <c r="B149" i="9"/>
  <c r="C149" i="9"/>
  <c r="D149" i="9"/>
  <c r="B148" i="9"/>
  <c r="C148" i="9"/>
  <c r="D148" i="9"/>
  <c r="B147" i="9"/>
  <c r="C147" i="9"/>
  <c r="D147" i="9"/>
  <c r="B146" i="9"/>
  <c r="C146" i="9"/>
  <c r="D146" i="9"/>
  <c r="B145" i="9"/>
  <c r="C145" i="9"/>
  <c r="D145" i="9"/>
  <c r="B144" i="9"/>
  <c r="C144" i="9"/>
  <c r="D144" i="9"/>
  <c r="B143" i="9"/>
  <c r="C143" i="9"/>
  <c r="D143" i="9"/>
  <c r="B142" i="9"/>
  <c r="C142" i="9"/>
  <c r="D142" i="9"/>
  <c r="B141" i="9"/>
  <c r="C141" i="9"/>
  <c r="D141" i="9"/>
  <c r="B140" i="9"/>
  <c r="C140" i="9"/>
  <c r="D140" i="9"/>
  <c r="B139" i="9"/>
  <c r="C139" i="9"/>
  <c r="D139" i="9"/>
  <c r="B138" i="9"/>
  <c r="C138" i="9"/>
  <c r="D138" i="9"/>
  <c r="B137" i="9"/>
  <c r="C137" i="9"/>
  <c r="D137" i="9"/>
  <c r="B136" i="9"/>
  <c r="C136" i="9"/>
  <c r="D136" i="9"/>
  <c r="B135" i="9"/>
  <c r="C135" i="9"/>
  <c r="D135" i="9"/>
  <c r="B134" i="9"/>
  <c r="C134" i="9"/>
  <c r="D134" i="9"/>
  <c r="B133" i="9"/>
  <c r="C133" i="9"/>
  <c r="D133" i="9"/>
  <c r="B132" i="9"/>
  <c r="C132" i="9"/>
  <c r="D132" i="9"/>
  <c r="B131" i="9"/>
  <c r="C131" i="9"/>
  <c r="D131" i="9"/>
  <c r="B130" i="9"/>
  <c r="C130" i="9"/>
  <c r="D130" i="9"/>
  <c r="B129" i="9"/>
  <c r="C129" i="9"/>
  <c r="D129" i="9"/>
  <c r="B128" i="9"/>
  <c r="C128" i="9"/>
  <c r="D128" i="9"/>
  <c r="B127" i="9"/>
  <c r="C127" i="9"/>
  <c r="D127" i="9"/>
  <c r="B126" i="9"/>
  <c r="C126" i="9"/>
  <c r="D126" i="9"/>
  <c r="B125" i="9"/>
  <c r="C125" i="9"/>
  <c r="D125" i="9"/>
  <c r="B124" i="9"/>
  <c r="C124" i="9"/>
  <c r="D124" i="9"/>
  <c r="B123" i="9"/>
  <c r="C123" i="9"/>
  <c r="D123" i="9"/>
  <c r="B122" i="9"/>
  <c r="C122" i="9"/>
  <c r="D122" i="9"/>
  <c r="B121" i="9"/>
  <c r="C121" i="9"/>
  <c r="D121" i="9"/>
  <c r="B120" i="9"/>
  <c r="C120" i="9"/>
  <c r="D120" i="9"/>
  <c r="B119" i="9"/>
  <c r="C119" i="9"/>
  <c r="D119" i="9"/>
  <c r="B118" i="9"/>
  <c r="C118" i="9"/>
  <c r="D118" i="9"/>
  <c r="B117" i="9"/>
  <c r="C117" i="9"/>
  <c r="D117" i="9"/>
  <c r="B116" i="9"/>
  <c r="C116" i="9"/>
  <c r="D116" i="9"/>
  <c r="B115" i="9"/>
  <c r="C115" i="9"/>
  <c r="D115" i="9"/>
  <c r="B114" i="9"/>
  <c r="C114" i="9"/>
  <c r="D114" i="9"/>
  <c r="B113" i="9"/>
  <c r="C113" i="9"/>
  <c r="D113" i="9"/>
  <c r="B112" i="9"/>
  <c r="C112" i="9"/>
  <c r="D112" i="9"/>
  <c r="B111" i="9"/>
  <c r="C111" i="9"/>
  <c r="D111" i="9"/>
  <c r="B110" i="9"/>
  <c r="C110" i="9"/>
  <c r="D110" i="9"/>
  <c r="B109" i="9"/>
  <c r="C109" i="9"/>
  <c r="D109" i="9"/>
  <c r="B108" i="9"/>
  <c r="C108" i="9"/>
  <c r="D108" i="9"/>
  <c r="B107" i="9"/>
  <c r="C107" i="9"/>
  <c r="D107" i="9"/>
  <c r="B106" i="9"/>
  <c r="C106" i="9"/>
  <c r="D106" i="9"/>
  <c r="B105" i="9"/>
  <c r="C105" i="9"/>
  <c r="D105" i="9"/>
  <c r="B104" i="9"/>
  <c r="C104" i="9"/>
  <c r="D104" i="9"/>
  <c r="B103" i="9"/>
  <c r="C103" i="9"/>
  <c r="D103" i="9"/>
  <c r="B102" i="9"/>
  <c r="C102" i="9"/>
  <c r="D102" i="9"/>
  <c r="B101" i="9"/>
  <c r="C101" i="9"/>
  <c r="D101" i="9"/>
  <c r="B100" i="9"/>
  <c r="C100" i="9"/>
  <c r="D100" i="9"/>
  <c r="B99" i="9"/>
  <c r="C99" i="9"/>
  <c r="D99" i="9"/>
  <c r="B98" i="9"/>
  <c r="C98" i="9"/>
  <c r="D98" i="9"/>
  <c r="B97" i="9"/>
  <c r="C97" i="9"/>
  <c r="D97" i="9"/>
  <c r="B96" i="9"/>
  <c r="C96" i="9"/>
  <c r="D96" i="9"/>
  <c r="B95" i="9"/>
  <c r="C95" i="9"/>
  <c r="D95" i="9"/>
  <c r="B94" i="9"/>
  <c r="C94" i="9"/>
  <c r="D94" i="9"/>
  <c r="B93" i="9"/>
  <c r="C93" i="9"/>
  <c r="D93" i="9"/>
  <c r="B92" i="9"/>
  <c r="C92" i="9"/>
  <c r="D92" i="9"/>
  <c r="B91" i="9"/>
  <c r="C91" i="9"/>
  <c r="D91" i="9"/>
  <c r="B90" i="9"/>
  <c r="C90" i="9"/>
  <c r="D90" i="9"/>
  <c r="B89" i="9"/>
  <c r="C89" i="9"/>
  <c r="D89" i="9"/>
  <c r="B88" i="9"/>
  <c r="C88" i="9"/>
  <c r="D88" i="9"/>
  <c r="B87" i="9"/>
  <c r="C87" i="9"/>
  <c r="D87" i="9"/>
  <c r="B86" i="9"/>
  <c r="C86" i="9"/>
  <c r="D86" i="9"/>
  <c r="B85" i="9"/>
  <c r="C85" i="9"/>
  <c r="D85" i="9"/>
  <c r="B84" i="9"/>
  <c r="C84" i="9"/>
  <c r="D84" i="9"/>
  <c r="B83" i="9"/>
  <c r="C83" i="9"/>
  <c r="D83" i="9"/>
  <c r="B82" i="9"/>
  <c r="C82" i="9"/>
  <c r="D82" i="9"/>
  <c r="B81" i="9"/>
  <c r="C81" i="9"/>
  <c r="D81" i="9"/>
  <c r="B80" i="9"/>
  <c r="C80" i="9"/>
  <c r="D80" i="9"/>
  <c r="B79" i="9"/>
  <c r="C79" i="9"/>
  <c r="D79" i="9"/>
  <c r="B78" i="9"/>
  <c r="C78" i="9"/>
  <c r="D78" i="9"/>
  <c r="B77" i="9"/>
  <c r="C77" i="9"/>
  <c r="D77" i="9"/>
  <c r="B76" i="9"/>
  <c r="C76" i="9"/>
  <c r="D76" i="9"/>
  <c r="B75" i="9"/>
  <c r="C75" i="9"/>
  <c r="D75" i="9"/>
  <c r="B74" i="9"/>
  <c r="C74" i="9"/>
  <c r="D74" i="9"/>
  <c r="B73" i="9"/>
  <c r="C73" i="9"/>
  <c r="D73" i="9"/>
  <c r="B72" i="9"/>
  <c r="C72" i="9"/>
  <c r="D72" i="9"/>
  <c r="B71" i="9"/>
  <c r="C71" i="9"/>
  <c r="D71" i="9"/>
  <c r="B70" i="9"/>
  <c r="C70" i="9"/>
  <c r="D70" i="9"/>
  <c r="B69" i="9"/>
  <c r="C69" i="9"/>
  <c r="D69" i="9"/>
  <c r="B68" i="9"/>
  <c r="C68" i="9"/>
  <c r="D68" i="9"/>
  <c r="B67" i="9"/>
  <c r="C67" i="9"/>
  <c r="D67" i="9"/>
  <c r="B66" i="9"/>
  <c r="C66" i="9"/>
  <c r="D66" i="9"/>
  <c r="B65" i="9"/>
  <c r="C65" i="9"/>
  <c r="D65" i="9"/>
  <c r="B64" i="9"/>
  <c r="C64" i="9"/>
  <c r="D64" i="9"/>
  <c r="B63" i="9"/>
  <c r="C63" i="9"/>
  <c r="D63" i="9"/>
  <c r="B62" i="9"/>
  <c r="C62" i="9"/>
  <c r="D62" i="9"/>
  <c r="B61" i="9"/>
  <c r="C61" i="9"/>
  <c r="D61" i="9"/>
  <c r="B60" i="9"/>
  <c r="C60" i="9"/>
  <c r="D60" i="9"/>
  <c r="B59" i="9"/>
  <c r="C59" i="9"/>
  <c r="D59" i="9"/>
  <c r="B58" i="9"/>
  <c r="C58" i="9"/>
  <c r="D58" i="9"/>
  <c r="B57" i="9"/>
  <c r="C57" i="9"/>
  <c r="D57" i="9"/>
  <c r="B56" i="9"/>
  <c r="C56" i="9"/>
  <c r="D56" i="9"/>
  <c r="B55" i="9"/>
  <c r="C55" i="9"/>
  <c r="D55" i="9"/>
  <c r="B54" i="9"/>
  <c r="C54" i="9"/>
  <c r="D54" i="9"/>
  <c r="B53" i="9"/>
  <c r="C53" i="9"/>
  <c r="D53" i="9"/>
  <c r="B52" i="9"/>
  <c r="C52" i="9"/>
  <c r="D52" i="9"/>
  <c r="B51" i="9"/>
  <c r="C51" i="9"/>
  <c r="D51" i="9"/>
  <c r="B50" i="9"/>
  <c r="C50" i="9"/>
  <c r="D50" i="9"/>
  <c r="B49" i="9"/>
  <c r="C49" i="9"/>
  <c r="D49" i="9"/>
  <c r="B48" i="9"/>
  <c r="C48" i="9"/>
  <c r="D48" i="9"/>
  <c r="B47" i="9"/>
  <c r="C47" i="9"/>
  <c r="D47" i="9"/>
  <c r="B46" i="9"/>
  <c r="C46" i="9"/>
  <c r="D46" i="9"/>
  <c r="B45" i="9"/>
  <c r="C45" i="9"/>
  <c r="D45" i="9"/>
  <c r="B44" i="9"/>
  <c r="C44" i="9"/>
  <c r="D44" i="9"/>
  <c r="B43" i="9"/>
  <c r="C43" i="9"/>
  <c r="D43" i="9"/>
  <c r="B42" i="9"/>
  <c r="C42" i="9"/>
  <c r="D42" i="9"/>
  <c r="B41" i="9"/>
  <c r="C41" i="9"/>
  <c r="D41" i="9"/>
  <c r="B40" i="9"/>
  <c r="C40" i="9"/>
  <c r="D40" i="9"/>
  <c r="B39" i="9"/>
  <c r="C39" i="9"/>
  <c r="D39" i="9"/>
  <c r="B38" i="9"/>
  <c r="C38" i="9"/>
  <c r="D38" i="9"/>
  <c r="B37" i="9"/>
  <c r="C37" i="9"/>
  <c r="D37" i="9"/>
  <c r="B36" i="9"/>
  <c r="C36" i="9"/>
  <c r="D36" i="9"/>
  <c r="B35" i="9"/>
  <c r="C35" i="9"/>
  <c r="D35" i="9"/>
  <c r="B34" i="9"/>
  <c r="C34" i="9"/>
  <c r="D34" i="9"/>
  <c r="B33" i="9"/>
  <c r="C33" i="9"/>
  <c r="D33" i="9"/>
  <c r="B32" i="9"/>
  <c r="C32" i="9"/>
  <c r="D32" i="9"/>
  <c r="B31" i="9"/>
  <c r="C31" i="9"/>
  <c r="D31" i="9"/>
  <c r="B30" i="9"/>
  <c r="C30" i="9"/>
  <c r="D30" i="9"/>
  <c r="B29" i="9"/>
  <c r="C29" i="9"/>
  <c r="D29" i="9"/>
  <c r="B28" i="9"/>
  <c r="C28" i="9"/>
  <c r="D28" i="9"/>
  <c r="B27" i="9"/>
  <c r="C27" i="9"/>
  <c r="D27" i="9"/>
  <c r="B26" i="9"/>
  <c r="C26" i="9"/>
  <c r="D26" i="9"/>
  <c r="B25" i="9"/>
  <c r="C25" i="9"/>
  <c r="D25" i="9"/>
  <c r="B24" i="9"/>
  <c r="C24" i="9"/>
  <c r="D24" i="9"/>
  <c r="B23" i="9"/>
  <c r="C23" i="9"/>
  <c r="D23" i="9"/>
  <c r="B22" i="9"/>
  <c r="C22" i="9"/>
  <c r="D22" i="9"/>
  <c r="B21" i="9"/>
  <c r="C21" i="9"/>
  <c r="D21" i="9"/>
  <c r="B20" i="9"/>
  <c r="C20" i="9"/>
  <c r="D20" i="9"/>
  <c r="B19" i="9"/>
  <c r="C19" i="9"/>
  <c r="D19" i="9"/>
  <c r="B18" i="9"/>
  <c r="C18" i="9"/>
  <c r="D18" i="9"/>
  <c r="B17" i="9"/>
  <c r="C17" i="9"/>
  <c r="D17" i="9"/>
  <c r="B16" i="9"/>
  <c r="C16" i="9"/>
  <c r="D16" i="9"/>
  <c r="B15" i="9"/>
  <c r="C15" i="9"/>
  <c r="D15" i="9"/>
  <c r="B14" i="9"/>
  <c r="C14" i="9"/>
  <c r="D14" i="9"/>
  <c r="B13" i="9"/>
  <c r="C13" i="9"/>
  <c r="D13" i="9"/>
  <c r="B12" i="9"/>
  <c r="C12" i="9"/>
  <c r="D12" i="9"/>
  <c r="B11" i="9"/>
  <c r="C11" i="9"/>
  <c r="D11" i="9"/>
  <c r="B10" i="9"/>
  <c r="C10" i="9"/>
  <c r="D10" i="9"/>
  <c r="B9" i="9"/>
  <c r="C9" i="9"/>
  <c r="D9" i="9"/>
  <c r="B8" i="9"/>
  <c r="C8" i="9"/>
  <c r="D8" i="9"/>
  <c r="B7" i="9"/>
  <c r="C7" i="9"/>
  <c r="D7" i="9"/>
  <c r="B6" i="9"/>
  <c r="C6" i="9"/>
  <c r="D6" i="9"/>
  <c r="B5" i="9"/>
  <c r="C5" i="9"/>
  <c r="D5" i="9"/>
  <c r="B4" i="9"/>
  <c r="C4" i="9"/>
  <c r="D4" i="9"/>
  <c r="B3" i="9"/>
  <c r="C3" i="9"/>
  <c r="D3" i="9"/>
  <c r="B203" i="7"/>
  <c r="C203" i="7"/>
  <c r="D203" i="7"/>
  <c r="B197" i="7"/>
  <c r="C197" i="7"/>
  <c r="D197" i="7"/>
  <c r="B176" i="7"/>
  <c r="C176" i="7"/>
  <c r="D176" i="7"/>
  <c r="B172" i="7"/>
  <c r="C172" i="7"/>
  <c r="D172" i="7"/>
  <c r="B151" i="7"/>
  <c r="C151" i="7"/>
  <c r="D151" i="7"/>
  <c r="B108" i="7"/>
  <c r="C108" i="7"/>
  <c r="D108" i="7"/>
  <c r="B103" i="7"/>
  <c r="C103" i="7"/>
  <c r="D103" i="7"/>
  <c r="B88" i="7"/>
  <c r="C88" i="7"/>
  <c r="D88" i="7"/>
  <c r="B73" i="7"/>
  <c r="C73" i="7"/>
  <c r="D73" i="7"/>
  <c r="B64" i="7"/>
  <c r="C64" i="7"/>
  <c r="D64" i="7"/>
  <c r="B37" i="7"/>
  <c r="C37" i="7"/>
  <c r="D37" i="7"/>
  <c r="B22" i="7"/>
  <c r="C22" i="7"/>
  <c r="D22" i="7"/>
  <c r="AT1" i="12" a="1"/>
  <c r="AT1" i="12" s="1"/>
  <c r="AS1" i="12" a="1"/>
  <c r="AS1" i="12" s="1"/>
  <c r="AR1" i="12" a="1"/>
  <c r="AR1" i="12" s="1"/>
  <c r="AQ1" i="12" a="1"/>
  <c r="AQ1" i="12" s="1"/>
  <c r="D2" i="9"/>
  <c r="C2" i="9"/>
  <c r="B2" i="9"/>
  <c r="D3" i="7"/>
  <c r="D4" i="7"/>
  <c r="D5" i="7"/>
  <c r="D6" i="7"/>
  <c r="D7" i="7"/>
  <c r="D8" i="7"/>
  <c r="D9" i="7"/>
  <c r="D10" i="7"/>
  <c r="D11" i="7"/>
  <c r="D12" i="7"/>
  <c r="D13" i="7"/>
  <c r="D14" i="7"/>
  <c r="D15" i="7"/>
  <c r="D16" i="7"/>
  <c r="D17" i="7"/>
  <c r="D18" i="7"/>
  <c r="D19" i="7"/>
  <c r="D20" i="7"/>
  <c r="D21" i="7"/>
  <c r="D23" i="7"/>
  <c r="D24" i="7"/>
  <c r="D25" i="7"/>
  <c r="D26" i="7"/>
  <c r="D27" i="7"/>
  <c r="D28" i="7"/>
  <c r="D29" i="7"/>
  <c r="D30" i="7"/>
  <c r="D31" i="7"/>
  <c r="D32" i="7"/>
  <c r="D33" i="7"/>
  <c r="D34" i="7"/>
  <c r="D35" i="7"/>
  <c r="D36" i="7"/>
  <c r="D38" i="7"/>
  <c r="D39" i="7"/>
  <c r="D40" i="7"/>
  <c r="D41" i="7"/>
  <c r="D42" i="7"/>
  <c r="D43" i="7"/>
  <c r="D44" i="7"/>
  <c r="D45" i="7"/>
  <c r="D46" i="7"/>
  <c r="D47" i="7"/>
  <c r="D48" i="7"/>
  <c r="D49" i="7"/>
  <c r="D50" i="7"/>
  <c r="D51" i="7"/>
  <c r="D52" i="7"/>
  <c r="D53" i="7"/>
  <c r="D54" i="7"/>
  <c r="D55" i="7"/>
  <c r="D56" i="7"/>
  <c r="D57" i="7"/>
  <c r="D58" i="7"/>
  <c r="D59" i="7"/>
  <c r="D60" i="7"/>
  <c r="D61" i="7"/>
  <c r="D62" i="7"/>
  <c r="D63" i="7"/>
  <c r="D65" i="7"/>
  <c r="D66" i="7"/>
  <c r="D67" i="7"/>
  <c r="D68" i="7"/>
  <c r="D69" i="7"/>
  <c r="D70" i="7"/>
  <c r="D71" i="7"/>
  <c r="D72" i="7"/>
  <c r="D74" i="7"/>
  <c r="D75" i="7"/>
  <c r="D76" i="7"/>
  <c r="D77" i="7"/>
  <c r="D78" i="7"/>
  <c r="D79" i="7"/>
  <c r="D80" i="7"/>
  <c r="D81" i="7"/>
  <c r="D82" i="7"/>
  <c r="D83" i="7"/>
  <c r="D84" i="7"/>
  <c r="D85" i="7"/>
  <c r="D86" i="7"/>
  <c r="D87" i="7"/>
  <c r="D89" i="7"/>
  <c r="D90" i="7"/>
  <c r="D91" i="7"/>
  <c r="D92" i="7"/>
  <c r="D93" i="7"/>
  <c r="D94" i="7"/>
  <c r="D95" i="7"/>
  <c r="D96" i="7"/>
  <c r="D97" i="7"/>
  <c r="D98" i="7"/>
  <c r="D99" i="7"/>
  <c r="D100" i="7"/>
  <c r="D101" i="7"/>
  <c r="D102" i="7"/>
  <c r="D104" i="7"/>
  <c r="D105" i="7"/>
  <c r="D106" i="7"/>
  <c r="D107"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2" i="7"/>
  <c r="D153" i="7"/>
  <c r="D154" i="7"/>
  <c r="D155" i="7"/>
  <c r="D156" i="7"/>
  <c r="D157" i="7"/>
  <c r="D158" i="7"/>
  <c r="D159" i="7"/>
  <c r="D160" i="7"/>
  <c r="D161" i="7"/>
  <c r="D162" i="7"/>
  <c r="D163" i="7"/>
  <c r="D164" i="7"/>
  <c r="D165" i="7"/>
  <c r="D166" i="7"/>
  <c r="D167" i="7"/>
  <c r="D168" i="7"/>
  <c r="D169" i="7"/>
  <c r="D170" i="7"/>
  <c r="D171" i="7"/>
  <c r="D173" i="7"/>
  <c r="D174" i="7"/>
  <c r="D175" i="7"/>
  <c r="D177" i="7"/>
  <c r="D178" i="7"/>
  <c r="D179" i="7"/>
  <c r="D180" i="7"/>
  <c r="D181" i="7"/>
  <c r="D182" i="7"/>
  <c r="D183" i="7"/>
  <c r="D184" i="7"/>
  <c r="D185" i="7"/>
  <c r="D186" i="7"/>
  <c r="D187" i="7"/>
  <c r="D188" i="7"/>
  <c r="D189" i="7"/>
  <c r="D190" i="7"/>
  <c r="D191" i="7"/>
  <c r="D192" i="7"/>
  <c r="D193" i="7"/>
  <c r="D194" i="7"/>
  <c r="D195" i="7"/>
  <c r="D196" i="7"/>
  <c r="D198" i="7"/>
  <c r="D199" i="7"/>
  <c r="D200" i="7"/>
  <c r="D201" i="7"/>
  <c r="D202" i="7"/>
  <c r="D204" i="7"/>
  <c r="D2"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3" i="7"/>
  <c r="B4" i="7"/>
  <c r="B5" i="7"/>
  <c r="B6" i="7"/>
  <c r="B7" i="7"/>
  <c r="B8" i="7"/>
  <c r="B9" i="7"/>
  <c r="B10" i="7"/>
  <c r="B11" i="7"/>
  <c r="B12" i="7"/>
  <c r="B13" i="7"/>
  <c r="B14" i="7"/>
  <c r="B15" i="7"/>
  <c r="B16" i="7"/>
  <c r="B17" i="7"/>
  <c r="B18" i="7"/>
  <c r="B19" i="7"/>
  <c r="B20" i="7"/>
  <c r="B21" i="7"/>
  <c r="B23" i="7"/>
  <c r="B24" i="7"/>
  <c r="B25" i="7"/>
  <c r="B26" i="7"/>
  <c r="B27" i="7"/>
  <c r="B28" i="7"/>
  <c r="B29" i="7"/>
  <c r="B30" i="7"/>
  <c r="B31" i="7"/>
  <c r="B32" i="7"/>
  <c r="B33" i="7"/>
  <c r="B34" i="7"/>
  <c r="B35" i="7"/>
  <c r="B36" i="7"/>
  <c r="B38" i="7"/>
  <c r="B39" i="7"/>
  <c r="B40" i="7"/>
  <c r="B41" i="7"/>
  <c r="B42" i="7"/>
  <c r="B43" i="7"/>
  <c r="B44" i="7"/>
  <c r="B45" i="7"/>
  <c r="B46" i="7"/>
  <c r="B47" i="7"/>
  <c r="B48" i="7"/>
  <c r="B49" i="7"/>
  <c r="B50" i="7"/>
  <c r="B51" i="7"/>
  <c r="B52" i="7"/>
  <c r="B53" i="7"/>
  <c r="B54" i="7"/>
  <c r="B55" i="7"/>
  <c r="B56" i="7"/>
  <c r="B57" i="7"/>
  <c r="B58" i="7"/>
  <c r="B59" i="7"/>
  <c r="B60" i="7"/>
  <c r="B61" i="7"/>
  <c r="B62" i="7"/>
  <c r="B63" i="7"/>
  <c r="B65" i="7"/>
  <c r="B66" i="7"/>
  <c r="B67" i="7"/>
  <c r="B68" i="7"/>
  <c r="B69" i="7"/>
  <c r="B70" i="7"/>
  <c r="B71" i="7"/>
  <c r="B72" i="7"/>
  <c r="B74" i="7"/>
  <c r="B75" i="7"/>
  <c r="B76" i="7"/>
  <c r="B77" i="7"/>
  <c r="B78" i="7"/>
  <c r="B79" i="7"/>
  <c r="B80" i="7"/>
  <c r="B81" i="7"/>
  <c r="B82" i="7"/>
  <c r="B83" i="7"/>
  <c r="B84" i="7"/>
  <c r="B85" i="7"/>
  <c r="B86" i="7"/>
  <c r="B87" i="7"/>
  <c r="B89" i="7"/>
  <c r="B90" i="7"/>
  <c r="B91" i="7"/>
  <c r="B92" i="7"/>
  <c r="B93" i="7"/>
  <c r="B94" i="7"/>
  <c r="B95" i="7"/>
  <c r="B96" i="7"/>
  <c r="B97" i="7"/>
  <c r="B98" i="7"/>
  <c r="B99" i="7"/>
  <c r="B100" i="7"/>
  <c r="B101" i="7"/>
  <c r="B102" i="7"/>
  <c r="B104" i="7"/>
  <c r="B105" i="7"/>
  <c r="B106" i="7"/>
  <c r="B107"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2" i="7"/>
  <c r="B153" i="7"/>
  <c r="B154" i="7"/>
  <c r="B155" i="7"/>
  <c r="B156" i="7"/>
  <c r="B157" i="7"/>
  <c r="B158" i="7"/>
  <c r="B159" i="7"/>
  <c r="B160" i="7"/>
  <c r="B161" i="7"/>
  <c r="B162" i="7"/>
  <c r="B163" i="7"/>
  <c r="B164" i="7"/>
  <c r="B165" i="7"/>
  <c r="B166" i="7"/>
  <c r="B167" i="7"/>
  <c r="B168" i="7"/>
  <c r="B169" i="7"/>
  <c r="B170" i="7"/>
  <c r="B171" i="7"/>
  <c r="B173" i="7"/>
  <c r="B174" i="7"/>
  <c r="B175" i="7"/>
  <c r="B177" i="7"/>
  <c r="B178" i="7"/>
  <c r="B179" i="7"/>
  <c r="B180" i="7"/>
  <c r="B181" i="7"/>
  <c r="B182" i="7"/>
  <c r="B183" i="7"/>
  <c r="B184" i="7"/>
  <c r="B185" i="7"/>
  <c r="B186" i="7"/>
  <c r="B187" i="7"/>
  <c r="B188" i="7"/>
  <c r="B189" i="7"/>
  <c r="B190" i="7"/>
  <c r="B191" i="7"/>
  <c r="B192" i="7"/>
  <c r="B193" i="7"/>
  <c r="B194" i="7"/>
  <c r="B195" i="7"/>
  <c r="B196" i="7"/>
  <c r="B198" i="7"/>
  <c r="B199" i="7"/>
  <c r="B200" i="7"/>
  <c r="B201" i="7"/>
  <c r="B202" i="7"/>
  <c r="B204" i="7"/>
  <c r="B2" i="7"/>
  <c r="C3" i="7"/>
  <c r="C4" i="7"/>
  <c r="C5" i="7"/>
  <c r="C6" i="7"/>
  <c r="C7" i="7"/>
  <c r="C8" i="7"/>
  <c r="C9" i="7"/>
  <c r="C10" i="7"/>
  <c r="C11" i="7"/>
  <c r="C12" i="7"/>
  <c r="C13" i="7"/>
  <c r="C14" i="7"/>
  <c r="C15" i="7"/>
  <c r="C16" i="7"/>
  <c r="C17" i="7"/>
  <c r="C18" i="7"/>
  <c r="C19" i="7"/>
  <c r="C20" i="7"/>
  <c r="C21" i="7"/>
  <c r="C23" i="7"/>
  <c r="C24" i="7"/>
  <c r="C25" i="7"/>
  <c r="C26" i="7"/>
  <c r="C27" i="7"/>
  <c r="C28" i="7"/>
  <c r="C29" i="7"/>
  <c r="C30" i="7"/>
  <c r="C31" i="7"/>
  <c r="C32" i="7"/>
  <c r="C33" i="7"/>
  <c r="C34" i="7"/>
  <c r="C35" i="7"/>
  <c r="C36" i="7"/>
  <c r="C38" i="7"/>
  <c r="C39" i="7"/>
  <c r="C40" i="7"/>
  <c r="C41" i="7"/>
  <c r="C42" i="7"/>
  <c r="C43" i="7"/>
  <c r="C44" i="7"/>
  <c r="C45" i="7"/>
  <c r="C46" i="7"/>
  <c r="C47" i="7"/>
  <c r="C48" i="7"/>
  <c r="C49" i="7"/>
  <c r="C50" i="7"/>
  <c r="C51" i="7"/>
  <c r="C52" i="7"/>
  <c r="C53" i="7"/>
  <c r="C54" i="7"/>
  <c r="C55" i="7"/>
  <c r="C56" i="7"/>
  <c r="C57" i="7"/>
  <c r="C58" i="7"/>
  <c r="C59" i="7"/>
  <c r="C60" i="7"/>
  <c r="C61" i="7"/>
  <c r="C62" i="7"/>
  <c r="C63" i="7"/>
  <c r="C65" i="7"/>
  <c r="C66" i="7"/>
  <c r="C67" i="7"/>
  <c r="C68" i="7"/>
  <c r="C69" i="7"/>
  <c r="C70" i="7"/>
  <c r="C71" i="7"/>
  <c r="C72" i="7"/>
  <c r="C74" i="7"/>
  <c r="C75" i="7"/>
  <c r="C76" i="7"/>
  <c r="C77" i="7"/>
  <c r="C78" i="7"/>
  <c r="C79" i="7"/>
  <c r="C80" i="7"/>
  <c r="C81" i="7"/>
  <c r="C82" i="7"/>
  <c r="C83" i="7"/>
  <c r="C84" i="7"/>
  <c r="C85" i="7"/>
  <c r="C86" i="7"/>
  <c r="C87" i="7"/>
  <c r="C89" i="7"/>
  <c r="C90" i="7"/>
  <c r="C91" i="7"/>
  <c r="C92" i="7"/>
  <c r="C93" i="7"/>
  <c r="C94" i="7"/>
  <c r="C95" i="7"/>
  <c r="C96" i="7"/>
  <c r="C97" i="7"/>
  <c r="C98" i="7"/>
  <c r="C99" i="7"/>
  <c r="C100" i="7"/>
  <c r="C101" i="7"/>
  <c r="C102" i="7"/>
  <c r="C104" i="7"/>
  <c r="C105" i="7"/>
  <c r="C106" i="7"/>
  <c r="C107"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2" i="7"/>
  <c r="C153" i="7"/>
  <c r="C154" i="7"/>
  <c r="C155" i="7"/>
  <c r="C156" i="7"/>
  <c r="C157" i="7"/>
  <c r="C158" i="7"/>
  <c r="C159" i="7"/>
  <c r="C160" i="7"/>
  <c r="C161" i="7"/>
  <c r="C162" i="7"/>
  <c r="C163" i="7"/>
  <c r="C164" i="7"/>
  <c r="C165" i="7"/>
  <c r="C166" i="7"/>
  <c r="C167" i="7"/>
  <c r="C168" i="7"/>
  <c r="C169" i="7"/>
  <c r="C170" i="7"/>
  <c r="C171" i="7"/>
  <c r="C173" i="7"/>
  <c r="C174" i="7"/>
  <c r="C175" i="7"/>
  <c r="C177" i="7"/>
  <c r="C178" i="7"/>
  <c r="C179" i="7"/>
  <c r="C180" i="7"/>
  <c r="C181" i="7"/>
  <c r="C182" i="7"/>
  <c r="C183" i="7"/>
  <c r="C184" i="7"/>
  <c r="C185" i="7"/>
  <c r="C186" i="7"/>
  <c r="C187" i="7"/>
  <c r="C188" i="7"/>
  <c r="C189" i="7"/>
  <c r="C190" i="7"/>
  <c r="C191" i="7"/>
  <c r="C192" i="7"/>
  <c r="C193" i="7"/>
  <c r="C194" i="7"/>
  <c r="C195" i="7"/>
  <c r="C196" i="7"/>
  <c r="C198" i="7"/>
  <c r="C199" i="7"/>
  <c r="C200" i="7"/>
  <c r="C201" i="7"/>
  <c r="C202" i="7"/>
  <c r="C204" i="7"/>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2"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2" i="8"/>
  <c r="C2" i="7"/>
  <c r="C5" i="11" l="1" a="1"/>
  <c r="C5" i="11" s="1"/>
  <c r="F5" i="11" l="1"/>
  <c r="D5" i="11"/>
  <c r="E5" i="11"/>
  <c r="G5" i="11"/>
  <c r="H5" i="11"/>
  <c r="I5" i="1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<sst xmlns="http://schemas.openxmlformats.org/spreadsheetml/2006/main" count="2815" uniqueCount="957">
  <si>
    <t>Toaster</t>
  </si>
  <si>
    <t>ARC Motion Core</t>
  </si>
  <si>
    <t>ARC</t>
  </si>
  <si>
    <t>Fireball Burner</t>
  </si>
  <si>
    <t>Rusted Tools</t>
  </si>
  <si>
    <t>Mechanical Components</t>
  </si>
  <si>
    <t>Wasp Driver</t>
  </si>
  <si>
    <t>Rusted Gear</t>
  </si>
  <si>
    <t>Advanced Mechanical Components</t>
  </si>
  <si>
    <t>Sentinel Firing Core</t>
  </si>
  <si>
    <t>Power Cable</t>
  </si>
  <si>
    <t>Electrical Components</t>
  </si>
  <si>
    <t>Hornet Driver</t>
  </si>
  <si>
    <t>Synthesized Fuel</t>
  </si>
  <si>
    <t>Crude Explosives</t>
  </si>
  <si>
    <t>Pop Trigger</t>
  </si>
  <si>
    <t>Cracked Bioscanner</t>
  </si>
  <si>
    <t>Durable Cloth</t>
  </si>
  <si>
    <t>Tick Pod</t>
  </si>
  <si>
    <t>Damaged Heat Sink</t>
  </si>
  <si>
    <t>Snitch Scanner</t>
  </si>
  <si>
    <t>Name</t>
  </si>
  <si>
    <t>Rarity</t>
  </si>
  <si>
    <t>Location</t>
  </si>
  <si>
    <t>Metal Parts</t>
  </si>
  <si>
    <t>Fabric</t>
  </si>
  <si>
    <t>Plastic Parts</t>
  </si>
  <si>
    <t>Chemicals</t>
  </si>
  <si>
    <t>Rubber Parts</t>
  </si>
  <si>
    <t>Assorted Seeds</t>
  </si>
  <si>
    <t>Component</t>
  </si>
  <si>
    <t>Gunsmith</t>
  </si>
  <si>
    <t>Industrial Battery</t>
  </si>
  <si>
    <t>Advanced Electrical Components</t>
  </si>
  <si>
    <t>Bastion Cell</t>
  </si>
  <si>
    <t>Gear Bench</t>
  </si>
  <si>
    <t>ARC Alloy</t>
  </si>
  <si>
    <t>Rusted Shut Medical Kit</t>
  </si>
  <si>
    <t>Antiseptic</t>
  </si>
  <si>
    <t>Surveyor Vault</t>
  </si>
  <si>
    <t>Medical Lab</t>
  </si>
  <si>
    <t>Laboratory Reagents</t>
  </si>
  <si>
    <t>Explosive Compound</t>
  </si>
  <si>
    <t>Rocketeer Driver</t>
  </si>
  <si>
    <t>Explosives Station</t>
  </si>
  <si>
    <t>Fried Motherboard</t>
  </si>
  <si>
    <t>Leaper Pulse Unit</t>
  </si>
  <si>
    <t>Utility Station</t>
  </si>
  <si>
    <t>ARC Powercell</t>
  </si>
  <si>
    <t>Motor</t>
  </si>
  <si>
    <t>ARC Circuitry</t>
  </si>
  <si>
    <t>Bombardier Cell</t>
  </si>
  <si>
    <t>Refiner</t>
  </si>
  <si>
    <t>Dog Collar</t>
  </si>
  <si>
    <t>Lemon</t>
  </si>
  <si>
    <t>Apricot</t>
  </si>
  <si>
    <t>Prickly Pear</t>
  </si>
  <si>
    <t>Olives</t>
  </si>
  <si>
    <t>Cat Bed</t>
  </si>
  <si>
    <t>Mushroom</t>
  </si>
  <si>
    <t>Very Comfortable Pillow</t>
  </si>
  <si>
    <t>Scrappy</t>
  </si>
  <si>
    <t>Sell Price</t>
  </si>
  <si>
    <t>Blue</t>
  </si>
  <si>
    <t>Green</t>
  </si>
  <si>
    <t>Gray</t>
  </si>
  <si>
    <t>Pink</t>
  </si>
  <si>
    <t>CraftableID</t>
  </si>
  <si>
    <t>CraftableName</t>
  </si>
  <si>
    <t>Numeric</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</si>
  <si>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</si>
  <si>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</si>
  <si>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</si>
  <si>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</si>
  <si>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</si>
  <si>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</si>
  <si>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</si>
  <si>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</si>
  <si>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</si>
  <si>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</si>
  <si>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</si>
  <si>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</si>
  <si>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</si>
  <si>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</si>
  <si>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</si>
  <si>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</si>
  <si>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</si>
  <si>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</si>
  <si>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</si>
  <si>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</si>
  <si>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</si>
  <si>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</si>
  <si>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</si>
  <si>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</si>
  <si>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</si>
  <si>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</si>
  <si>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</si>
  <si>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</si>
  <si>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</si>
  <si>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</si>
  <si>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</si>
  <si>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</si>
  <si>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</si>
  <si>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</si>
  <si>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</si>
  <si>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</si>
  <si>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</si>
  <si>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</si>
  <si>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</si>
  <si>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</si>
  <si>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</si>
  <si>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</si>
  <si>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</si>
  <si>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</si>
  <si>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</si>
  <si>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</si>
  <si>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</si>
  <si>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</si>
  <si>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</si>
  <si>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</si>
  <si>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Advanced ARC Powercell</t>
  </si>
  <si>
    <t>Agave</t>
  </si>
  <si>
    <t>Air Freshener</t>
  </si>
  <si>
    <t>Alarm Clock</t>
  </si>
  <si>
    <t>ARC Coolant</t>
  </si>
  <si>
    <t>ARC Flex Rubber</t>
  </si>
  <si>
    <t>ARC Performance Steel</t>
  </si>
  <si>
    <t>ARC Synthetic Resin</t>
  </si>
  <si>
    <t>ARC Thermo Lining</t>
  </si>
  <si>
    <t>Battery</t>
  </si>
  <si>
    <t>Bicycle Pump</t>
  </si>
  <si>
    <t>Bloated Tuna Can</t>
  </si>
  <si>
    <t>Blown Fuses</t>
  </si>
  <si>
    <t>Breathtaking Snow Globe</t>
  </si>
  <si>
    <t>Broken Flashlight</t>
  </si>
  <si>
    <t>Broken Handheld Radio</t>
  </si>
  <si>
    <t>Broken Riot Shield</t>
  </si>
  <si>
    <t>Broken Taser</t>
  </si>
  <si>
    <t>Burned ARC Circuitry</t>
  </si>
  <si>
    <t>Camera Lens</t>
  </si>
  <si>
    <t>Candle Holder</t>
  </si>
  <si>
    <t>Canister</t>
  </si>
  <si>
    <t>Coffee Pot</t>
  </si>
  <si>
    <t>Complex Gun Parts</t>
  </si>
  <si>
    <t>Coolant</t>
  </si>
  <si>
    <t>Cooling Coil</t>
  </si>
  <si>
    <t>Cooling Fan</t>
  </si>
  <si>
    <t>Crumpled Plastic Bottle</t>
  </si>
  <si>
    <t>Damaged ARC Motion Core</t>
  </si>
  <si>
    <t>Damaged ARC Powercell</t>
  </si>
  <si>
    <t>Damaged Fireball Burner</t>
  </si>
  <si>
    <t>Damaged Hornet Driver</t>
  </si>
  <si>
    <t>Damaged Rocketeer Driver</t>
  </si>
  <si>
    <t>Damaged Wasp Driver</t>
  </si>
  <si>
    <t>Dart Board</t>
  </si>
  <si>
    <t>Deflated Football</t>
  </si>
  <si>
    <t>Degraded ARC Rubber</t>
  </si>
  <si>
    <t>Diving Goggles</t>
  </si>
  <si>
    <t>Dried-Out ARC Resin</t>
  </si>
  <si>
    <t>Duct Tape</t>
  </si>
  <si>
    <t>Empty Wine Bottle</t>
  </si>
  <si>
    <t>Exodus Modules</t>
  </si>
  <si>
    <t>Expired Pasta</t>
  </si>
  <si>
    <t>Expired Respirator</t>
  </si>
  <si>
    <t>Faded Photograph</t>
  </si>
  <si>
    <t>Fertilizer</t>
  </si>
  <si>
    <t>Film Reel</t>
  </si>
  <si>
    <t>Fine Wristwatch</t>
  </si>
  <si>
    <t>Frying Pan</t>
  </si>
  <si>
    <t>Garlic Press</t>
  </si>
  <si>
    <t>Great Mullein</t>
  </si>
  <si>
    <t>Headphones</t>
  </si>
  <si>
    <t>Heavy Gun Parts</t>
  </si>
  <si>
    <t>Household Cleaner</t>
  </si>
  <si>
    <t>Humidifier</t>
  </si>
  <si>
    <t>Ice Cream Scooper</t>
  </si>
  <si>
    <t>Impure ARC Coolant</t>
  </si>
  <si>
    <t>Industrial Charger</t>
  </si>
  <si>
    <t>Industrial Magnet</t>
  </si>
  <si>
    <t>Lance's Mixtape (5th Edition)</t>
  </si>
  <si>
    <t>Light Bulb</t>
  </si>
  <si>
    <t>Light Gun Parts</t>
  </si>
  <si>
    <t>Magnet</t>
  </si>
  <si>
    <t>Magnetic Accelerator</t>
  </si>
  <si>
    <t>Medium Gun Parts</t>
  </si>
  <si>
    <t>Metal Brackets</t>
  </si>
  <si>
    <t>Mod Components</t>
  </si>
  <si>
    <t>Moss</t>
  </si>
  <si>
    <t>Music Album</t>
  </si>
  <si>
    <t>Music Box</t>
  </si>
  <si>
    <t>Number Plate</t>
  </si>
  <si>
    <t>Oil</t>
  </si>
  <si>
    <t>Painted Box</t>
  </si>
  <si>
    <t>Playing Cards</t>
  </si>
  <si>
    <t>Polluted Air Filter</t>
  </si>
  <si>
    <t>Portable TV</t>
  </si>
  <si>
    <t>Poster of Natural Wonders</t>
  </si>
  <si>
    <t>Pottery</t>
  </si>
  <si>
    <t>Power Bank</t>
  </si>
  <si>
    <t>Power Rod</t>
  </si>
  <si>
    <t>Processor</t>
  </si>
  <si>
    <t>Projector</t>
  </si>
  <si>
    <t>Queen Reactor</t>
  </si>
  <si>
    <t>Radio</t>
  </si>
  <si>
    <t>Red Coral Jewelry</t>
  </si>
  <si>
    <t>Remote Control</t>
  </si>
  <si>
    <t>Resin</t>
  </si>
  <si>
    <t>Ripped Safety Vest</t>
  </si>
  <si>
    <t>Rocket Thruster</t>
  </si>
  <si>
    <t>Roots</t>
  </si>
  <si>
    <t>Rope</t>
  </si>
  <si>
    <t>Rosary</t>
  </si>
  <si>
    <t>Rubber Duck</t>
  </si>
  <si>
    <t>Rubber Pad</t>
  </si>
  <si>
    <t>Ruined Accordion</t>
  </si>
  <si>
    <t>Ruined Augment</t>
  </si>
  <si>
    <t>Ruined Baton</t>
  </si>
  <si>
    <t>Ruined Handcuffs</t>
  </si>
  <si>
    <t>Ruined Parachute</t>
  </si>
  <si>
    <t>Ruined Tactical Vest</t>
  </si>
  <si>
    <t>Ruined Riot Shield</t>
  </si>
  <si>
    <t>Rusted Bolts</t>
  </si>
  <si>
    <t>Rusty ARC Steel</t>
  </si>
  <si>
    <t>Sensors</t>
  </si>
  <si>
    <t>Silver Teaspoon Set</t>
  </si>
  <si>
    <t>Simple Gun Parts</t>
  </si>
  <si>
    <t>Speaker Component</t>
  </si>
  <si>
    <t>Spring Cushion</t>
  </si>
  <si>
    <t>Spotter Relay</t>
  </si>
  <si>
    <t>Statuette</t>
  </si>
  <si>
    <t>Steel Spring</t>
  </si>
  <si>
    <t>Syringe</t>
  </si>
  <si>
    <t>Tattered ARC Lining</t>
  </si>
  <si>
    <t>Tattered Clothes</t>
  </si>
  <si>
    <t>Thermostat</t>
  </si>
  <si>
    <t>Torn Book</t>
  </si>
  <si>
    <t>Torn Blanket</t>
  </si>
  <si>
    <t>Turbo Pump</t>
  </si>
  <si>
    <t>Unusable Weapon</t>
  </si>
  <si>
    <t>Vase</t>
  </si>
  <si>
    <t>Volcanic Rock</t>
  </si>
  <si>
    <t>Voltage Converter</t>
  </si>
  <si>
    <t>Water Filter</t>
  </si>
  <si>
    <t>Water Pump</t>
  </si>
  <si>
    <t>Wires</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</si>
  <si>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</si>
  <si>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</si>
  <si>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</si>
  <si>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</si>
  <si>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</si>
  <si>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</si>
  <si>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</si>
  <si>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</si>
  <si>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</si>
  <si>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</si>
  <si>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</si>
  <si>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</si>
  <si>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</si>
  <si>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</si>
  <si>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</si>
  <si>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</si>
  <si>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</si>
  <si>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</si>
  <si>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</si>
  <si>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</si>
  <si>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</si>
  <si>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</si>
  <si>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</si>
  <si>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</si>
  <si>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</si>
  <si>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</si>
  <si>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</si>
  <si>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</si>
  <si>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</si>
  <si>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</si>
  <si>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</si>
  <si>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</si>
  <si>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</si>
  <si>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</si>
  <si>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</si>
  <si>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</si>
  <si>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</si>
  <si>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</si>
  <si>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</si>
  <si>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</si>
  <si>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</si>
  <si>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</si>
  <si>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</si>
  <si>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</si>
  <si>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</si>
  <si>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</si>
  <si>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</si>
  <si>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</si>
  <si>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</si>
  <si>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</si>
  <si>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</si>
  <si>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</si>
  <si>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</si>
  <si>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</si>
  <si>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</si>
  <si>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</si>
  <si>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</si>
  <si>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</si>
  <si>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</si>
  <si>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</si>
  <si>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</si>
  <si>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</si>
  <si>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</si>
  <si>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</si>
  <si>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</si>
  <si>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</si>
  <si>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</si>
  <si>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</si>
  <si>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</si>
  <si>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</si>
  <si>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</si>
  <si>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</si>
  <si>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</si>
  <si>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</si>
  <si>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</si>
  <si>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</si>
  <si>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</si>
  <si>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</si>
  <si>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</si>
  <si>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</si>
  <si>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</si>
  <si>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</si>
  <si>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</si>
  <si>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</si>
  <si>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</si>
  <si>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</si>
  <si>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</si>
  <si>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</si>
  <si>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</si>
  <si>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</si>
  <si>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</si>
  <si>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</si>
  <si>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</si>
  <si>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</si>
  <si>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</si>
  <si>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</si>
  <si>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</si>
  <si>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</si>
  <si>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</si>
  <si>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</si>
  <si>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</si>
  <si>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</si>
  <si>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</si>
  <si>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</si>
  <si>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</si>
  <si>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</si>
  <si>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</si>
  <si>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</si>
  <si>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</si>
  <si>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</si>
  <si>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</si>
  <si>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</si>
  <si>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</si>
  <si>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</si>
  <si>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</si>
  <si>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</si>
  <si>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</si>
  <si>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</si>
  <si>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</si>
  <si>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</si>
  <si>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</si>
  <si>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</si>
  <si>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</si>
  <si>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</si>
  <si>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</si>
  <si>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ComponentID</t>
  </si>
  <si>
    <t>ComponentName</t>
  </si>
  <si>
    <t>ComponentRarity</t>
  </si>
  <si>
    <t>ComponentSellPrice</t>
  </si>
  <si>
    <t>Yellow</t>
  </si>
  <si>
    <t>NA</t>
  </si>
  <si>
    <t>COMP-001</t>
  </si>
  <si>
    <t>COMP-002</t>
  </si>
  <si>
    <t>COMP-003</t>
  </si>
  <si>
    <t>COMP-004</t>
  </si>
  <si>
    <t>COMP-005</t>
  </si>
  <si>
    <t>COMP-006</t>
  </si>
  <si>
    <t>COMP-007</t>
  </si>
  <si>
    <t>COMP-008</t>
  </si>
  <si>
    <t>COMP-009</t>
  </si>
  <si>
    <t>COMP-010</t>
  </si>
  <si>
    <t>COMP-011</t>
  </si>
  <si>
    <t>COMP-012</t>
  </si>
  <si>
    <t>COMP-013</t>
  </si>
  <si>
    <t>COMP-014</t>
  </si>
  <si>
    <t>COMP-015</t>
  </si>
  <si>
    <t>COMP-016</t>
  </si>
  <si>
    <t>COMP-017</t>
  </si>
  <si>
    <t>COMP-018</t>
  </si>
  <si>
    <t>COMP-019</t>
  </si>
  <si>
    <t>COMP-020</t>
  </si>
  <si>
    <t>COMP-021</t>
  </si>
  <si>
    <t>COMP-022</t>
  </si>
  <si>
    <t>COMP-023</t>
  </si>
  <si>
    <t>COMP-024</t>
  </si>
  <si>
    <t>COMP-025</t>
  </si>
  <si>
    <t>COMP-026</t>
  </si>
  <si>
    <t>COMP-027</t>
  </si>
  <si>
    <t>COMP-028</t>
  </si>
  <si>
    <t>COMP-029</t>
  </si>
  <si>
    <t>COMP-030</t>
  </si>
  <si>
    <t>COMP-031</t>
  </si>
  <si>
    <t>COMP-032</t>
  </si>
  <si>
    <t>COMP-033</t>
  </si>
  <si>
    <t>COMP-034</t>
  </si>
  <si>
    <t>COMP-035</t>
  </si>
  <si>
    <t>COMP-036</t>
  </si>
  <si>
    <t>COMP-037</t>
  </si>
  <si>
    <t>COMP-038</t>
  </si>
  <si>
    <t>COMP-039</t>
  </si>
  <si>
    <t>COMP-040</t>
  </si>
  <si>
    <t>COMP-041</t>
  </si>
  <si>
    <t>COMP-042</t>
  </si>
  <si>
    <t>COMP-043</t>
  </si>
  <si>
    <t>COMP-044</t>
  </si>
  <si>
    <t>COMP-045</t>
  </si>
  <si>
    <t>COMP-046</t>
  </si>
  <si>
    <t>COMP-047</t>
  </si>
  <si>
    <t>COMP-048</t>
  </si>
  <si>
    <t>COMP-049</t>
  </si>
  <si>
    <t>COMP-050</t>
  </si>
  <si>
    <t>COMP-051</t>
  </si>
  <si>
    <t>COMP-052</t>
  </si>
  <si>
    <t>COMP-053</t>
  </si>
  <si>
    <t>COMP-054</t>
  </si>
  <si>
    <t>COMP-055</t>
  </si>
  <si>
    <t>COMP-056</t>
  </si>
  <si>
    <t>COMP-057</t>
  </si>
  <si>
    <t>COMP-058</t>
  </si>
  <si>
    <t>COMP-059</t>
  </si>
  <si>
    <t>COMP-060</t>
  </si>
  <si>
    <t>COMP-061</t>
  </si>
  <si>
    <t>COMP-062</t>
  </si>
  <si>
    <t>COMP-063</t>
  </si>
  <si>
    <t>COMP-064</t>
  </si>
  <si>
    <t>COMP-065</t>
  </si>
  <si>
    <t>COMP-066</t>
  </si>
  <si>
    <t>COMP-067</t>
  </si>
  <si>
    <t>COMP-068</t>
  </si>
  <si>
    <t>COMP-069</t>
  </si>
  <si>
    <t>COMP-070</t>
  </si>
  <si>
    <t>COMP-071</t>
  </si>
  <si>
    <t>COMP-072</t>
  </si>
  <si>
    <t>COMP-073</t>
  </si>
  <si>
    <t>COMP-074</t>
  </si>
  <si>
    <t>COMP-075</t>
  </si>
  <si>
    <t>COMP-076</t>
  </si>
  <si>
    <t>COMP-077</t>
  </si>
  <si>
    <t>COMP-078</t>
  </si>
  <si>
    <t>COMP-079</t>
  </si>
  <si>
    <t>COMP-080</t>
  </si>
  <si>
    <t>COMP-081</t>
  </si>
  <si>
    <t>COMP-082</t>
  </si>
  <si>
    <t>COMP-083</t>
  </si>
  <si>
    <t>COMP-084</t>
  </si>
  <si>
    <t>COMP-085</t>
  </si>
  <si>
    <t>COMP-086</t>
  </si>
  <si>
    <t>COMP-087</t>
  </si>
  <si>
    <t>COMP-088</t>
  </si>
  <si>
    <t>COMP-089</t>
  </si>
  <si>
    <t>COMP-090</t>
  </si>
  <si>
    <t>COMP-091</t>
  </si>
  <si>
    <t>COMP-092</t>
  </si>
  <si>
    <t>COMP-093</t>
  </si>
  <si>
    <t>COMP-094</t>
  </si>
  <si>
    <t>COMP-095</t>
  </si>
  <si>
    <t>COMP-096</t>
  </si>
  <si>
    <t>COMP-097</t>
  </si>
  <si>
    <t>COMP-098</t>
  </si>
  <si>
    <t>COMP-099</t>
  </si>
  <si>
    <t>COMP-100</t>
  </si>
  <si>
    <t>COMP-101</t>
  </si>
  <si>
    <t>COMP-102</t>
  </si>
  <si>
    <t>COMP-103</t>
  </si>
  <si>
    <t>COMP-104</t>
  </si>
  <si>
    <t>COMP-105</t>
  </si>
  <si>
    <t>COMP-106</t>
  </si>
  <si>
    <t>COMP-107</t>
  </si>
  <si>
    <t>COMP-108</t>
  </si>
  <si>
    <t>COMP-109</t>
  </si>
  <si>
    <t>COMP-110</t>
  </si>
  <si>
    <t>COMP-111</t>
  </si>
  <si>
    <t>COMP-112</t>
  </si>
  <si>
    <t>COMP-113</t>
  </si>
  <si>
    <t>COMP-114</t>
  </si>
  <si>
    <t>COMP-115</t>
  </si>
  <si>
    <t>COMP-116</t>
  </si>
  <si>
    <t>COMP-117</t>
  </si>
  <si>
    <t>COMP-118</t>
  </si>
  <si>
    <t>COMP-119</t>
  </si>
  <si>
    <t>COMP-120</t>
  </si>
  <si>
    <t>COMP-121</t>
  </si>
  <si>
    <t>COMP-122</t>
  </si>
  <si>
    <t>COMP-123</t>
  </si>
  <si>
    <t>COMP-124</t>
  </si>
  <si>
    <t>COMP-125</t>
  </si>
  <si>
    <t>COMP-126</t>
  </si>
  <si>
    <t>COMP-127</t>
  </si>
  <si>
    <t>COMP-128</t>
  </si>
  <si>
    <t>COMP-129</t>
  </si>
  <si>
    <t>COMP-130</t>
  </si>
  <si>
    <t>COMP-131</t>
  </si>
  <si>
    <t>COMP-132</t>
  </si>
  <si>
    <t>COMP-133</t>
  </si>
  <si>
    <t>COMP-134</t>
  </si>
  <si>
    <t>COMP-135</t>
  </si>
  <si>
    <t>COMP-136</t>
  </si>
  <si>
    <t>COMP-137</t>
  </si>
  <si>
    <t>COMP-138</t>
  </si>
  <si>
    <t>COMP-139</t>
  </si>
  <si>
    <t>COMP-140</t>
  </si>
  <si>
    <t>COMP-141</t>
  </si>
  <si>
    <t>COMP-142</t>
  </si>
  <si>
    <t>COMP-143</t>
  </si>
  <si>
    <t>COMP-144</t>
  </si>
  <si>
    <t>COMP-145</t>
  </si>
  <si>
    <t>COMP-146</t>
  </si>
  <si>
    <t>COMP-147</t>
  </si>
  <si>
    <t>COMP-148</t>
  </si>
  <si>
    <t>COMP-149</t>
  </si>
  <si>
    <t>COMP-150</t>
  </si>
  <si>
    <t>COMP-151</t>
  </si>
  <si>
    <t>COMP-152</t>
  </si>
  <si>
    <t>COMP-153</t>
  </si>
  <si>
    <t>COMP-154</t>
  </si>
  <si>
    <t>COMP-155</t>
  </si>
  <si>
    <t>COMP-156</t>
  </si>
  <si>
    <t>COMP-157</t>
  </si>
  <si>
    <t>COMP-158</t>
  </si>
  <si>
    <t>COMP-159</t>
  </si>
  <si>
    <t>COMP-160</t>
  </si>
  <si>
    <t>COMP-161</t>
  </si>
  <si>
    <t>COMP-162</t>
  </si>
  <si>
    <t>COMP-163</t>
  </si>
  <si>
    <t>COMP-164</t>
  </si>
  <si>
    <t>COMP-165</t>
  </si>
  <si>
    <t>COMP-166</t>
  </si>
  <si>
    <t>COMP-167</t>
  </si>
  <si>
    <t>COMP-168</t>
  </si>
  <si>
    <t>COMP-169</t>
  </si>
  <si>
    <t>COMP-170</t>
  </si>
  <si>
    <t>COMP-171</t>
  </si>
  <si>
    <t>COMP-172</t>
  </si>
  <si>
    <t>COMP-173</t>
  </si>
  <si>
    <t>COMP-174</t>
  </si>
  <si>
    <t>COMP-175</t>
  </si>
  <si>
    <t>CRFT-001</t>
  </si>
  <si>
    <t>CRFT-002</t>
  </si>
  <si>
    <t>CRFT-003</t>
  </si>
  <si>
    <t>CRFT-004</t>
  </si>
  <si>
    <t>CRFT-005</t>
  </si>
  <si>
    <t>CRFT-006</t>
  </si>
  <si>
    <t>CRFT-007</t>
  </si>
  <si>
    <t>LocationID</t>
  </si>
  <si>
    <t>LocationName</t>
  </si>
  <si>
    <t>Residential</t>
  </si>
  <si>
    <t>Mechanical</t>
  </si>
  <si>
    <t>Industrial</t>
  </si>
  <si>
    <t>Electrical</t>
  </si>
  <si>
    <t>Commercial</t>
  </si>
  <si>
    <t>Exodus</t>
  </si>
  <si>
    <t>Security</t>
  </si>
  <si>
    <t>Medical</t>
  </si>
  <si>
    <t>Technological</t>
  </si>
  <si>
    <t>Nature</t>
  </si>
  <si>
    <t>LOC-001</t>
  </si>
  <si>
    <t>LOC-002</t>
  </si>
  <si>
    <t>LOC-003</t>
  </si>
  <si>
    <t>LOC-004</t>
  </si>
  <si>
    <t>LOC-005</t>
  </si>
  <si>
    <t>LOC-006</t>
  </si>
  <si>
    <t>LOC-007</t>
  </si>
  <si>
    <t>LOC-008</t>
  </si>
  <si>
    <t>LOC-009</t>
  </si>
  <si>
    <t>LOC-010</t>
  </si>
  <si>
    <t>LOC-011</t>
  </si>
  <si>
    <t>UsageID</t>
  </si>
  <si>
    <t>UsageQuantity</t>
  </si>
  <si>
    <t>USE-001</t>
  </si>
  <si>
    <t>USE-002</t>
  </si>
  <si>
    <t>USE-003</t>
  </si>
  <si>
    <t>USE-004</t>
  </si>
  <si>
    <t>USE-005</t>
  </si>
  <si>
    <t>USE-006</t>
  </si>
  <si>
    <t>USE-007</t>
  </si>
  <si>
    <t>USE-008</t>
  </si>
  <si>
    <t>USE-009</t>
  </si>
  <si>
    <t>USE-010</t>
  </si>
  <si>
    <t>USE-011</t>
  </si>
  <si>
    <t>USE-012</t>
  </si>
  <si>
    <t>USE-013</t>
  </si>
  <si>
    <t>USE-014</t>
  </si>
  <si>
    <t>USE-015</t>
  </si>
  <si>
    <t>USE-016</t>
  </si>
  <si>
    <t>USE-017</t>
  </si>
  <si>
    <t>USE-018</t>
  </si>
  <si>
    <t>USE-019</t>
  </si>
  <si>
    <t>USE-020</t>
  </si>
  <si>
    <t>USE-021</t>
  </si>
  <si>
    <t>USE-022</t>
  </si>
  <si>
    <t>USE-023</t>
  </si>
  <si>
    <t>USE-024</t>
  </si>
  <si>
    <t>USE-025</t>
  </si>
  <si>
    <t>USE-026</t>
  </si>
  <si>
    <t>USE-027</t>
  </si>
  <si>
    <t>USE-028</t>
  </si>
  <si>
    <t>USE-029</t>
  </si>
  <si>
    <t>USE-030</t>
  </si>
  <si>
    <t>USE-031</t>
  </si>
  <si>
    <t>USE-032</t>
  </si>
  <si>
    <t>USE-033</t>
  </si>
  <si>
    <t>USE-034</t>
  </si>
  <si>
    <t>USE-035</t>
  </si>
  <si>
    <t>USE-036</t>
  </si>
  <si>
    <t>USE-037</t>
  </si>
  <si>
    <t>USE-038</t>
  </si>
  <si>
    <t>USE-039</t>
  </si>
  <si>
    <t>USE-040</t>
  </si>
  <si>
    <t>USE-041</t>
  </si>
  <si>
    <t>USE-042</t>
  </si>
  <si>
    <t>USE-043</t>
  </si>
  <si>
    <t>USE-044</t>
  </si>
  <si>
    <t>USE-045</t>
  </si>
  <si>
    <t>USE-046</t>
  </si>
  <si>
    <t>USE-047</t>
  </si>
  <si>
    <t>USE-048</t>
  </si>
  <si>
    <t>USE-049</t>
  </si>
  <si>
    <t>USE-050</t>
  </si>
  <si>
    <t>USE-051</t>
  </si>
  <si>
    <t>USE-052</t>
  </si>
  <si>
    <t>USE-053</t>
  </si>
  <si>
    <t>USE-054</t>
  </si>
  <si>
    <t>USE-055</t>
  </si>
  <si>
    <t>USE-056</t>
  </si>
  <si>
    <t>USE-057</t>
  </si>
  <si>
    <t>CompLocID</t>
  </si>
  <si>
    <t>Component Name (Plaintext)</t>
  </si>
  <si>
    <t>Location Name (Plaintext)</t>
  </si>
  <si>
    <t>Craftable Name (Plaintext)</t>
  </si>
  <si>
    <t>numeric</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</si>
  <si>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</si>
  <si>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</si>
  <si>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</si>
  <si>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</si>
  <si>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</si>
  <si>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</si>
  <si>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</si>
  <si>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</si>
  <si>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</si>
  <si>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</si>
  <si>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</si>
  <si>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</si>
  <si>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</si>
  <si>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</si>
  <si>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</si>
  <si>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</si>
  <si>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</si>
  <si>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</si>
  <si>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</si>
  <si>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</si>
  <si>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</si>
  <si>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</si>
  <si>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</si>
  <si>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</si>
  <si>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</si>
  <si>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</si>
  <si>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</si>
  <si>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</si>
  <si>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</si>
  <si>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</si>
  <si>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</si>
  <si>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</si>
  <si>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</si>
  <si>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</si>
  <si>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</si>
  <si>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</si>
  <si>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</si>
  <si>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</si>
  <si>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</si>
  <si>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</si>
  <si>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</si>
  <si>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</si>
  <si>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</si>
  <si>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</si>
  <si>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</si>
  <si>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</si>
  <si>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</si>
  <si>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</si>
  <si>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</si>
  <si>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</si>
  <si>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DismantleID</t>
  </si>
  <si>
    <t>SourceComponentID</t>
  </si>
  <si>
    <t>ResultComponentID</t>
  </si>
  <si>
    <t>SrcComp (Plaintext)</t>
  </si>
  <si>
    <t>ResComp(Plaintext)</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</si>
  <si>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</si>
  <si>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</si>
  <si>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</si>
  <si>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</si>
  <si>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</si>
  <si>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</si>
  <si>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</si>
  <si>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</si>
  <si>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</si>
  <si>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</si>
  <si>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</si>
  <si>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</si>
  <si>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</si>
  <si>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</si>
  <si>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</si>
  <si>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</si>
  <si>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</si>
  <si>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</si>
  <si>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</si>
  <si>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</si>
  <si>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</si>
  <si>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</si>
  <si>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</si>
  <si>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</si>
  <si>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</si>
  <si>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</si>
  <si>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</si>
  <si>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</si>
  <si>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</si>
  <si>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</si>
  <si>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</si>
  <si>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</si>
  <si>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</si>
  <si>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</si>
  <si>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</si>
  <si>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</si>
  <si>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</si>
  <si>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</si>
  <si>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</si>
  <si>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</si>
  <si>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</si>
  <si>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</si>
  <si>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</si>
  <si>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</si>
  <si>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</si>
  <si>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</si>
  <si>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</si>
  <si>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</si>
  <si>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</si>
  <si>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</si>
  <si>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</si>
  <si>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</si>
  <si>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</si>
  <si>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</si>
  <si>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</si>
  <si>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</si>
  <si>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</si>
  <si>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</si>
  <si>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</si>
  <si>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</si>
  <si>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</si>
  <si>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</si>
  <si>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</si>
  <si>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</si>
  <si>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</si>
  <si>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</si>
  <si>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</si>
  <si>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</si>
  <si>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</si>
  <si>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</si>
  <si>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</si>
  <si>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</si>
  <si>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</si>
  <si>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</si>
  <si>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</si>
  <si>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</si>
  <si>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</si>
  <si>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</si>
  <si>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</si>
  <si>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</si>
  <si>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</si>
  <si>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</si>
  <si>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</si>
  <si>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</si>
  <si>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</si>
  <si>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</si>
  <si>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</si>
  <si>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</si>
  <si>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</si>
  <si>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</si>
  <si>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</si>
  <si>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</si>
  <si>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</si>
  <si>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</si>
  <si>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</si>
  <si>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</si>
  <si>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</si>
  <si>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</si>
  <si>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</si>
  <si>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</si>
  <si>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</si>
  <si>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</si>
  <si>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</si>
  <si>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</si>
  <si>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</si>
  <si>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</si>
  <si>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</si>
  <si>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</si>
  <si>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</si>
  <si>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</si>
  <si>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</si>
  <si>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</si>
  <si>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</si>
  <si>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</si>
  <si>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</si>
  <si>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</si>
  <si>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</si>
  <si>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</si>
  <si>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</si>
  <si>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</si>
  <si>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</si>
  <si>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</si>
  <si>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</si>
  <si>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</si>
  <si>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</si>
  <si>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</si>
  <si>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</si>
  <si>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</si>
  <si>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</si>
  <si>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</si>
  <si>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</si>
  <si>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</si>
  <si>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</si>
  <si>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</si>
  <si>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</si>
  <si>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</si>
  <si>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</si>
  <si>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</si>
  <si>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</si>
  <si>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</si>
  <si>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</si>
  <si>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</si>
  <si>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</si>
  <si>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</si>
  <si>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</si>
  <si>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</si>
  <si>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</si>
  <si>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</si>
  <si>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</si>
  <si>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</si>
  <si>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</si>
  <si>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</si>
  <si>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</si>
  <si>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</si>
  <si>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</si>
  <si>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</si>
  <si>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</si>
  <si>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</si>
  <si>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</si>
  <si>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</si>
  <si>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</si>
  <si>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</si>
  <si>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</si>
  <si>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</si>
  <si>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</si>
  <si>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</si>
  <si>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</si>
  <si>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</si>
  <si>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</si>
  <si>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</si>
  <si>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</si>
  <si>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</si>
  <si>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</si>
  <si>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</si>
  <si>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</si>
  <si>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</si>
  <si>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</si>
  <si>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</si>
  <si>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</si>
  <si>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</si>
  <si>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</si>
  <si>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</si>
  <si>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</si>
  <si>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</si>
  <si>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</si>
  <si>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</si>
  <si>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</si>
  <si>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</si>
  <si>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</si>
  <si>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</si>
  <si>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Search for Component:</t>
  </si>
  <si>
    <t>Component Details:</t>
  </si>
  <si>
    <t>Quantity</t>
  </si>
  <si>
    <t>Total Qty Needed</t>
  </si>
  <si>
    <t>Known Uses</t>
  </si>
  <si>
    <t>Found In</t>
  </si>
  <si>
    <t>Dismantles Into</t>
  </si>
  <si>
    <t>Advanced Component Search</t>
  </si>
  <si>
    <t>Used In</t>
  </si>
  <si>
    <t>Dismantles To</t>
  </si>
  <si>
    <t>Price</t>
  </si>
  <si>
    <t>Total Needed</t>
  </si>
  <si>
    <t>Used For</t>
  </si>
  <si>
    <t>Locations</t>
  </si>
  <si>
    <t>Raider</t>
  </si>
  <si>
    <t>LOC-012</t>
  </si>
  <si>
    <t>Show Unknown (NOT WORKING)</t>
  </si>
  <si>
    <t>Looting Mk.1</t>
  </si>
  <si>
    <t>Light Shield</t>
  </si>
  <si>
    <t>Ferro I</t>
  </si>
  <si>
    <t>Hairpin I</t>
  </si>
  <si>
    <t>Kettle I</t>
  </si>
  <si>
    <t>Stitcher I</t>
  </si>
  <si>
    <t>Heavy Ammo</t>
  </si>
  <si>
    <t>Light Ammo</t>
  </si>
  <si>
    <t>Medium Ammo</t>
  </si>
  <si>
    <t>Shotgun Ammo</t>
  </si>
  <si>
    <t>Light Impact Grenade</t>
  </si>
  <si>
    <t>Shield Recharger</t>
  </si>
  <si>
    <t>Bandage</t>
  </si>
  <si>
    <t>Arpeggio I</t>
  </si>
  <si>
    <t>Rattler I</t>
  </si>
  <si>
    <t>Stable Stock II</t>
  </si>
  <si>
    <t>Angled Grip I</t>
  </si>
  <si>
    <t>Compensator I</t>
  </si>
  <si>
    <t>Extended Light Mag I</t>
  </si>
  <si>
    <t>Extended Medium Mag I</t>
  </si>
  <si>
    <t>Extended Shotgun Mag I</t>
  </si>
  <si>
    <t>Muzzle Brake I</t>
  </si>
  <si>
    <t>Shotgun Choke I</t>
  </si>
  <si>
    <t>Stable Stock I</t>
  </si>
  <si>
    <t>Vertical Grip I</t>
  </si>
  <si>
    <t>Bettina I</t>
  </si>
  <si>
    <t>Renegade I</t>
  </si>
  <si>
    <t>Combat Mk.2</t>
  </si>
  <si>
    <t>Looting Mk.2</t>
  </si>
  <si>
    <t>Tactical Mk.2</t>
  </si>
  <si>
    <t>Combat Mk.1</t>
  </si>
  <si>
    <t>Tactical Mk.1</t>
  </si>
  <si>
    <t>Heavy Shield</t>
  </si>
  <si>
    <t>Medium Shield</t>
  </si>
  <si>
    <t>Looting Mk.3 (Cautious)</t>
  </si>
  <si>
    <t>Shrapnel Grenade</t>
  </si>
  <si>
    <t>Snap Blast Grenade</t>
  </si>
  <si>
    <t>Gas Grenade</t>
  </si>
  <si>
    <t>Heavy Fuze Grenade</t>
  </si>
  <si>
    <t>Sterilized Bandage</t>
  </si>
  <si>
    <t>Surge Shield Recharger</t>
  </si>
  <si>
    <t>Herbal Bandage</t>
  </si>
  <si>
    <t>Adrenaline Shot</t>
  </si>
  <si>
    <t>Binoculars</t>
  </si>
  <si>
    <t>Li'l Smoke Grenade</t>
  </si>
  <si>
    <t>Door Blocker</t>
  </si>
  <si>
    <t>Photoelectric Cloak</t>
  </si>
  <si>
    <t>Lure Grenade</t>
  </si>
  <si>
    <t>Raider Hatch Key</t>
  </si>
  <si>
    <t>Zipline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</si>
</sst>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font>
    <font>
      <sz val="11"/>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8"/>
      <name val="Calibri"/>
      <family val="2"/>
    </font>
    <font>
      <i/>
      <sz val="11"/>
      <color theme="1"/>
      <name val="Calibri"/>
      <family val="2"/>
    </font>
    <font>
      <sz val="10"/>
      <color theme="1"/>
      <name val="Arial Unicode MS"/>
    </font>
    <font>
      <i/>
      <sz val="12"/>
      <color theme="1"/>
      <name val="Calibri"/>
      <family val="2"/>
    </font>
    <font>
      <b/>
      <sz val="12"/>
      <color theme="3"/>
      <name val="Calibri"/>
      <family val="2"/>
    </font>
    <font>
      <sz val="8"/>
      <color rgb="FF000000"/>
      <name val="Segoe UI"/>
      <family val="2"/>
    </font>
  </fonts>
  <fills count="5">
    <fill>
      <patternFill patternType="none"/>
    </fill>
    <fill>
      <patternFill patternType="gray125"/>
    </fill>
    <fill>
      <patternFill patternType="solid">
        <fgColor rgb="FFFFFFCC"/>
      </patternFill>
    </fill>
    <fill>
      <patternFill patternType="solid">
        <fgColor theme="2"/>
        <bgColor indexed="64"/>
      </patternFill>
    </fill>
    <fill>
      <patternFill patternType="solid">
        <fgColor theme="2" tint="-0.499984740745262"/>
        <bgColor indexed="64"/>
      </patternFill>
    </fill>
  </fills>
  <borders count="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rgb="FFB2B2B2"/>
      </left>
      <right/>
      <top style="thin">
        <color rgb="FFB2B2B2"/>
      </top>
      <bottom style="thin">
        <color rgb="FFB2B2B2"/>
      </bottom>
      <diagonal/>
    </border>
    <border>
      <left/>
      <right style="thin">
        <color rgb="FFB2B2B2"/>
      </right>
      <top style="thin">
        <color rgb="FFB2B2B2"/>
      </top>
      <bottom style="thin">
        <color rgb="FFB2B2B2"/>
      </bottom>
      <diagonal/>
    </border>
  </borders>
  <cellStyleXfs count="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1" fillId="2" borderId="4" applyNumberFormat="0" applyFont="0" applyAlignment="0" applyProtection="0"/>
    <xf numFmtId="0" fontId="1" fillId="3" borderId="0"/>
  </cellStyleXfs>
  <cellXfs count="13">
    <xf numFmtId="0" fontId="0" fillId="0" borderId="0" xfId="0"/>
    <xf numFmtId="49" fontId="0" fillId="0" borderId="0" xfId="0" applyNumberFormat="1"/>
    <xf numFmtId="0" fontId="7" fillId="0" borderId="0" xfId="0" applyFont="1"/>
    <xf numFmtId="0" fontId="8" fillId="0" borderId="0" xfId="0" applyFont="1" applyAlignment="1">
      <alignment vertical="center"/>
    </xf>
    <xf numFmtId="0" fontId="3" fillId="0" borderId="1" xfId="2"/>
    <xf numFmtId="0" fontId="2" fillId="0" borderId="1" xfId="1" applyBorder="1"/>
    <xf numFmtId="0" fontId="4" fillId="0" borderId="2" xfId="3"/>
    <xf numFmtId="0" fontId="9" fillId="2" borderId="4" xfId="5" applyFont="1"/>
    <xf numFmtId="0" fontId="0" fillId="4" borderId="0" xfId="0" applyFill="1"/>
    <xf numFmtId="0" fontId="10" fillId="0" borderId="3" xfId="4" applyFont="1"/>
    <xf numFmtId="0" fontId="9" fillId="2" borderId="5" xfId="5" applyFont="1" applyBorder="1"/>
    <xf numFmtId="0" fontId="9" fillId="2" borderId="6" xfId="5" applyFont="1" applyBorder="1"/>
    <xf numFmtId="0" fontId="2" fillId="0" borderId="0" xfId="1"/>
  </cellXfs>
  <cellStyles count="7">
    <cellStyle name="gray cell" xfId="6" xr:uid="{B5BE0DCE-EE43-4FCB-81AB-86C9B066E830}"/>
    <cellStyle name="Heading 1" xfId="2" builtinId="16"/>
    <cellStyle name="Heading 2" xfId="3" builtinId="17"/>
    <cellStyle name="Heading 3" xfId="4" builtinId="18"/>
    <cellStyle name="Normal" xfId="0" builtinId="0"/>
    <cellStyle name="Note" xfId="5" builtinId="10"/>
    <cellStyle name="Title" xfId="1" builtinId="15"/>
  </cellStyles>
  <dxfs count="4">
    <dxf>
      <font>
        <color theme="5" tint="0.39994506668294322"/>
      </font>
    </dxf>
    <dxf>
      <font>
        <color theme="8" tint="0.39994506668294322"/>
      </font>
    </dxf>
    <dxf>
      <font>
        <color theme="3" tint="0.499984740745262"/>
      </font>
    </dxf>
    <dxf>
      <font>
        <color theme="6" tint="0.3999450666829432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fmlaLink="$C$7"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47625</xdr:colOff>
          <xdr:row>6</xdr:row>
          <xdr:rowOff>0</xdr:rowOff>
        </xdr:from>
        <xdr:to>
          <xdr:col>1</xdr:col>
          <xdr:colOff>952500</xdr:colOff>
          <xdr:row>7</xdr:row>
          <xdr:rowOff>0</xdr:rowOff>
        </xdr:to>
        <xdr:sp macro="" textlink="">
          <xdr:nvSpPr>
            <xdr:cNvPr id="12292" name="Check Box 4" hidden="1">
              <a:extLst>
                <a:ext uri="{63B3BB69-23CF-44E3-9099-C40C66FF867C}">
                  <a14:compatExt spid="_x0000_s12292"/>
                </a:ext>
                <a:ext uri="{FF2B5EF4-FFF2-40B4-BE49-F238E27FC236}">
                  <a16:creationId xmlns:a16="http://schemas.microsoft.com/office/drawing/2014/main" id="{00000000-0008-0000-0000-00000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Show Unknown</a:t>
              </a:r>
            </a:p>
          </xdr:txBody>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EB3931C-6EFB-41DA-9C1C-AF08BE4AD9FF}" name="tblCraftable" displayName="tblCraftable" ref="B1:C72" totalsRowShown="0">
  <autoFilter ref="B1:C72" xr:uid="{5EB3931C-6EFB-41DA-9C1C-AF08BE4AD9FF}"/>
  <tableColumns count="2">
    <tableColumn id="1" xr3:uid="{30E0124D-842F-45D7-A1DC-1612470A9227}" name="CraftableID"/>
    <tableColumn id="2" xr3:uid="{D6D7CDFF-191F-4938-A8FD-6E2D9511910B}" name="CraftableNam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2644A0D-1317-47FF-BCEC-5EF757586BFC}" name="tblLocation" displayName="tblLocation" ref="A1:B13" totalsRowShown="0">
  <autoFilter ref="A1:B13" xr:uid="{12644A0D-1317-47FF-BCEC-5EF757586BFC}"/>
  <tableColumns count="2">
    <tableColumn id="1" xr3:uid="{E4F64570-A217-4EEA-877E-81E3C255E365}" name="LocationID"/>
    <tableColumn id="2" xr3:uid="{5D04CD68-B717-4206-8E5D-3BB5DBF6D891}" name="LocationNam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A7F0F66-EB45-459B-941F-EF07639F5600}" name="tblComponent" displayName="tblComponent" ref="B1:E176" totalsRowShown="0">
  <autoFilter ref="B1:E176" xr:uid="{2A7F0F66-EB45-459B-941F-EF07639F5600}"/>
  <sortState xmlns:xlrd2="http://schemas.microsoft.com/office/spreadsheetml/2017/richdata2" ref="B2:E176">
    <sortCondition ref="C1:C176"/>
  </sortState>
  <tableColumns count="4">
    <tableColumn id="1" xr3:uid="{767ABECE-7A85-467B-8CDF-0347A9086B1C}" name="ComponentID"/>
    <tableColumn id="2" xr3:uid="{4F44FCCA-D57F-4F6D-B543-DA6C8D9BCD09}" name="ComponentName"/>
    <tableColumn id="3" xr3:uid="{DBAC540F-1C79-4A4D-9687-94F902ED5708}" name="ComponentRarity"/>
    <tableColumn id="4" xr3:uid="{6DA242C8-058B-4949-BEF0-663609D2996D}" name="ComponentSellPrice"/>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244062C-9557-4D7E-9EAA-9D57FFEF7A9D}" name="tblComponentUsage" displayName="tblComponentUsage" ref="A1:D183" totalsRowShown="0">
  <autoFilter ref="A1:D183" xr:uid="{A244062C-9557-4D7E-9EAA-9D57FFEF7A9D}"/>
  <tableColumns count="4">
    <tableColumn id="1" xr3:uid="{13517AF6-09B7-49C7-B4DF-62558EB4EAA8}" name="UsageID"/>
    <tableColumn id="2" xr3:uid="{06731441-5668-40B5-B1D9-6A4F35D7CDE6}" name="ComponentID">
      <calculatedColumnFormula>_xlfn.XLOOKUP($F2,'03_Component'!$C:$C,'03_Component'!$B:$B)</calculatedColumnFormula>
    </tableColumn>
    <tableColumn id="3" xr3:uid="{341A4605-D505-4F07-9402-147BD20283C3}" name="CraftableID">
      <calculatedColumnFormula>_xlfn.XLOOKUP($G2,'01_Craftable'!$C:$C,'01_Craftable'!$B:$B)</calculatedColumnFormula>
    </tableColumn>
    <tableColumn id="4" xr3:uid="{8E335FA1-E2BC-471D-8C61-7F8224D20C6C}" name="UsageQuantity"/>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4523C44-B87A-4A3D-A7A7-24B721B5FE1D}" name="tblComponentLocation" displayName="tblComponentLocation" ref="B1:D204" totalsRowShown="0">
  <autoFilter ref="B1:D204" xr:uid="{44523C44-B87A-4A3D-A7A7-24B721B5FE1D}"/>
  <tableColumns count="3">
    <tableColumn id="1" xr3:uid="{81E1E07E-95F0-4919-B165-AFD9AC843E08}" name="CompLocID">
      <calculatedColumnFormula>_xlfn.CONCAT("CL-",A2)</calculatedColumnFormula>
    </tableColumn>
    <tableColumn id="2" xr3:uid="{47F1AD8D-4D74-4163-8D2F-50A3235F1518}" name="ComponentID">
      <calculatedColumnFormula>_xlfn.XLOOKUP($F2,'03_Component'!$C:$C,'03_Component'!$B:$B)</calculatedColumnFormula>
    </tableColumn>
    <tableColumn id="3" xr3:uid="{56224845-292D-419A-B761-521FD7E5D4EC}" name="LocationID">
      <calculatedColumnFormula>_xlfn.XLOOKUP($G2,'02_Location'!$B:$B,'02_Location'!$A:$A)</calculatedColumnFormula>
    </tableColum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BCAA961-8C63-4327-963D-F51AEB6C32CF}" name="tblDismantleResults" displayName="tblDismantleResults" ref="B1:E246" totalsRowShown="0">
  <autoFilter ref="B1:E246" xr:uid="{1BCAA961-8C63-4327-963D-F51AEB6C32CF}"/>
  <tableColumns count="4">
    <tableColumn id="1" xr3:uid="{DA5DA9C3-45E9-4B1B-A7C9-46979F94523D}" name="DismantleID">
      <calculatedColumnFormula>_xlfn.CONCAT("DIS-",A2)</calculatedColumnFormula>
    </tableColumn>
    <tableColumn id="2" xr3:uid="{07B8276D-9645-448E-90D8-AEDA854D7B45}" name="SourceComponentID">
      <calculatedColumnFormula>_xlfn.XLOOKUP($G2,'03_Component'!$C:$C,'03_Component'!$B:$B)</calculatedColumnFormula>
    </tableColumn>
    <tableColumn id="3" xr3:uid="{ABDDD6B8-41C9-46FA-8CA6-4994319DC03B}" name="ResultComponentID">
      <calculatedColumnFormula>_xlfn.XLOOKUP($H2,'03_Component'!$C:$C,'03_Component'!$B:$B)</calculatedColumnFormula>
    </tableColumn>
    <tableColumn id="4" xr3:uid="{E72C9D8B-C5BF-4066-B8DF-B713D57F8FE4}" name="Quantity"/>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42F2B-3246-4DF6-980C-F8BC69101ACB}">
  <sheetPr>
    <tabColor theme="5" tint="0.39997558519241921"/>
  </sheetPr>
  <dimension ref="A1:AT184"/>
  <sheetViews>
    <sheetView tabSelected="1" workbookViewId="0">
      <selection activeCell="D5" sqref="D5"/>
    </sheetView>
  </sheetViews>
  <sheetFormatPr defaultRowHeight="15"/>
  <cols>
    <col min="1" max="1" width="32.5703125" bestFit="1" customWidth="1"/>
    <col min="2" max="2" width="15.42578125" customWidth="1"/>
    <col min="4" max="4" width="15" bestFit="1" customWidth="1"/>
    <col min="5" max="5" width="112.140625" customWidth="1"/>
    <col min="6" max="6" width="43.7109375" bestFit="1" customWidth="1"/>
    <col min="7" max="7" width="62.28515625" bestFit="1" customWidth="1"/>
    <col min="8" max="8" width="20.5703125" bestFit="1" customWidth="1"/>
    <col min="11" max="11" width="10" customWidth="1"/>
  </cols>
  <sheetData>
    <row r="1" spans="1:46" ht="24">
      <c r="A1" s="12" t="s">
        <v>897</v>
      </c>
      <c r="B1" s="12"/>
      <c r="C1" s="12"/>
      <c r="AQ1" t="str" cm="1">
        <f t="array" ref="AQ1:AQ6">_xlfn._xlws.SORT(_xlfn.UNIQUE(tblComponent[ComponentRarity]))</f>
        <v>Blue</v>
      </c>
      <c r="AR1" t="str" cm="1">
        <f t="array" ref="AR1:AR12">_xlfn._xlws.SORT(_xlfn.UNIQUE(tblLocation[LocationName]))</f>
        <v>ARC</v>
      </c>
      <c r="AS1" t="str" cm="1">
        <f t="array" ref="AS1:AS70">_xlfn._xlws.SORT(_xlfn.UNIQUE(tblCraftable[CraftableName]))</f>
        <v>Adrenaline Shot</v>
      </c>
      <c r="AT1" t="str" cm="1">
        <f t="array" ref="AT1:AT175">_xlfn._xlws.SORT(_xlfn.UNIQUE(tblComponent[ComponentName]))</f>
        <v>Advanced ARC Powercell</v>
      </c>
    </row>
    <row r="2" spans="1:46">
      <c r="AQ2" t="str">
        <v>Gray</v>
      </c>
      <c r="AR2" t="str">
        <v>Commercial</v>
      </c>
      <c r="AS2" t="str">
        <v>Advanced Electrical Components</v>
      </c>
      <c r="AT2" t="str">
        <v>Advanced Electrical Components</v>
      </c>
    </row>
    <row r="3" spans="1:46" ht="16.5" thickBot="1">
      <c r="A3" s="9" t="s">
        <v>22</v>
      </c>
      <c r="B3" s="10"/>
      <c r="C3" s="11"/>
      <c r="AQ3" t="str">
        <v>Green</v>
      </c>
      <c r="AR3" t="str">
        <v>Electrical</v>
      </c>
      <c r="AS3" t="str">
        <v>Advanced Mechanical Components</v>
      </c>
      <c r="AT3" t="str">
        <v>Advanced Mechanical Components</v>
      </c>
    </row>
    <row r="4" spans="1:46" ht="16.5" thickBot="1">
      <c r="A4" s="9" t="s">
        <v>23</v>
      </c>
      <c r="B4" s="10"/>
      <c r="C4" s="11"/>
      <c r="AQ4" t="str">
        <v>NA</v>
      </c>
      <c r="AR4" t="str">
        <v>Exodus</v>
      </c>
      <c r="AS4" t="str">
        <v>Angled Grip I</v>
      </c>
      <c r="AT4" t="str">
        <v>Agave</v>
      </c>
    </row>
    <row r="5" spans="1:46" ht="16.5" thickBot="1">
      <c r="A5" s="9" t="s">
        <v>898</v>
      </c>
      <c r="B5" s="10"/>
      <c r="C5" s="11"/>
      <c r="AQ5" t="str">
        <v>Pink</v>
      </c>
      <c r="AR5" t="str">
        <v>Industrial</v>
      </c>
      <c r="AS5" t="str">
        <v>Antiseptic</v>
      </c>
      <c r="AT5" t="str">
        <v>Air Freshener</v>
      </c>
    </row>
    <row r="6" spans="1:46" ht="16.5" thickBot="1">
      <c r="A6" s="9" t="s">
        <v>899</v>
      </c>
      <c r="B6" s="10"/>
      <c r="C6" s="11"/>
      <c r="AQ6" t="str">
        <v>Yellow</v>
      </c>
      <c r="AR6" t="str">
        <v>Mechanical</v>
      </c>
      <c r="AS6" t="str">
        <v>ARC Circuitry</v>
      </c>
      <c r="AT6" t="str">
        <v>Alarm Clock</v>
      </c>
    </row>
    <row r="7" spans="1:46" ht="16.5" customHeight="1">
      <c r="A7" s="8" t="s">
        <v>906</v>
      </c>
      <c r="B7" s="8"/>
      <c r="C7" s="8" t="b">
        <v>0</v>
      </c>
      <c r="AR7" t="str">
        <v>Medical</v>
      </c>
      <c r="AS7" t="str">
        <v>ARC Motion Core</v>
      </c>
      <c r="AT7" t="str">
        <v>Antiseptic</v>
      </c>
    </row>
    <row r="8" spans="1:46">
      <c r="AR8" t="str">
        <v>Nature</v>
      </c>
      <c r="AS8" t="str">
        <v>Arpeggio I</v>
      </c>
      <c r="AT8" t="str">
        <v>Apricot</v>
      </c>
    </row>
    <row r="9" spans="1:46" ht="18" thickBot="1">
      <c r="A9" s="6" t="s">
        <v>30</v>
      </c>
      <c r="B9" s="6" t="s">
        <v>22</v>
      </c>
      <c r="C9" s="6" t="s">
        <v>900</v>
      </c>
      <c r="D9" s="6" t="s">
        <v>901</v>
      </c>
      <c r="E9" s="6" t="s">
        <v>902</v>
      </c>
      <c r="F9" s="6" t="s">
        <v>903</v>
      </c>
      <c r="G9" s="6" t="s">
        <v>896</v>
      </c>
      <c r="AR9" t="str">
        <v>Raider</v>
      </c>
      <c r="AS9" t="str">
        <v>Bandage</v>
      </c>
      <c r="AT9" t="str">
        <v>ARC Alloy</v>
      </c>
    </row>
    <row r="10" spans="1:46" ht="15.75" thickTop="1">
      <c r="A10" t="str" cm="1">
        <f t="array" ref="A10:G184">_xlfn.LET(_xlpm.rarityFilter,IF(B3="","",B3),_xlpm.locationFilter,IF(B4="","",B4),_xlpm.stationFilter,IF(B5="","",B5),_xlpm.dismantleFilter,IF(B6="","",B6),_xlpm.showUnknown,C7,_xlpm.allCompIDs,tblComponent[ComponentID],_xlpm.allCompNames,tblComponent[ComponentName],_xlpm.rarityMatch,IF(_xlpm.rarityFilter="",1,(tblComponent[ComponentRarity]=_xlpm.rarityFilter)*1),_xlpm.locationIDs,IF(_xlpm.locationFilter="","",_xlfn.XLOOKUP(_xlpm.locationFilter,tblLocation[LocationName],tblLocation[LocationID])),_xlpm.locationMatch,IF(_xlpm.locationFilter="",1,(COUNTIFS(tblComponentLocation[ComponentID],_xlpm.allCompIDs,tblComponentLocation[LocationID],_xlpm.locationIDs)&gt;0)*1),_xlpm.stationID,IF(_xlpm.stationFilter="","",_xlfn.XLOOKUP(_xlpm.stationFilter,tblCraftable[CraftableName],tblCraftable[CraftableID])),_xlpm.stationMatch,IF(_xlpm.stationFilter="",1,(COUNTIFS(tblComponentUsage[ComponentID],_xlpm.allCompIDs,tblComponentUsage[CraftableID],_xlpm.stationID)&gt;0)*1),_xlpm.dismantleID,IF(_xlpm.dismantleFilter="","",_xlfn.XLOOKUP(_xlpm.dismantleFilter,tblComponent[ComponentName],tblComponent[ComponentID])),_xlpm.dismantleMatch,IF(_xlpm.dismantleFilter="",1,(COUNTIFS(tblDismantleResults[SourceComponentID],_xlpm.allCompIDs,tblDismantleResults[ResultComponentID],_xlpm.dismantleID)&gt;0)*1),_xlpm.hasKnownLoc,_xlfn.MAP(tblComponent[ComponentID],_xlfn.LAMBDA(_xlpm.id,COUNTIFS(tblComponentLocation[ComponentID],_xlpm.id)&gt;0)),_xlpm.showUnknownMatch,IF(_xlpm.showUnknown,1,_xlpm.hasKnownLoc*1),_xlpm.combinedMatch,_xlpm.rarityMatch*_xlpm.locationMatch*_xlpm.stationMatch*_xlpm.dismantleMatch*_xlpm.showUnknownMatch,_xlpm.resultName,_xlfn._xlws.FILTER(tblComponent[ComponentName],_xlpm.combinedMatch),_xlpm.resultRarity,_xlfn._xlws.FILTER(tblComponent[ComponentRarity],_xlpm.combinedMatch),_xlpm.resultPrice,_xlfn._xlws.FILTER(tblComponent[ComponentSellPrice],_xlpm.combinedMatch),_xlpm.resultTotalNeeded,_xlfn._xlws.FILTER(_xlfn.MAP(tblComponent[ComponentID],_xlfn.LAMBDA(_xlpm.id,SUMIFS(tblComponentUsage[UsageQuantity],tblComponentUsage[ComponentID],_xlpm.id))),_xlpm.combinedMatch),_xlpm.resultUses,_xlfn._xlws.FILTER(_xlfn.MAP(tblComponent[ComponentID],_xlfn.LAMBDA(_xlpm.id,_xlfn.LET(_xlpm.useIDs,IFERROR(_xlfn._xlws.FILTER(tblComponentUsage[CraftableID],tblComponentUsage[ComponentID]=_xlpm.id),""),_xlpm.useQtys,IFERROR(_xlfn._xlws.FILTER(tblComponentUsage[UsageQuantity],tblComponentUsage[ComponentID]=_xlpm.id),""),_xlpm.useNames,IF(OR(_xlpm.useIDs="",ROWS(_xlpm.useIDs)=0),"",IFERROR(_xlfn.XLOOKUP(_xlpm.useIDs,tblCraftable[CraftableID],tblCraftable[CraftableName]),"")),_xlpm.uses,IF(OR(_xlpm.useNames="",ROWS(_xlpm.useNames)=0),"No known use",_xlfn.TEXTJOIN(", ",TRUE,_xlpm.useNames&amp;" ("&amp;_xlpm.useQtys&amp;")")),_xlpm.uses))),_xlpm.combinedMatch),_xlpm.resultLocations,_xlfn._xlws.FILTER(_xlfn.MAP(tblComponent[ComponentID],_xlfn.LAMBDA(_xlpm.id,_xlfn.LET(_xlpm.locs,IFERROR(_xlfn._xlws.FILTER(tblLocation[LocationName],ISNUMBER(MATCH(tblLocation[LocationID],_xlfn._xlws.FILTER(tblComponentLocation[LocationID],tblComponentLocation[ComponentID]=_xlpm.id),0))),""),IF(OR(_xlpm.locs="",ROWS(_xlpm.locs)=0),"Unknown",_xlfn.TEXTJOIN(", ",TRUE,_xlpm.locs))))),_xlpm.combinedMatch),_xlpm.resultDismantles,_xlfn._xlws.FILTER(_xlfn.MAP(tblComponent[ComponentID],_xlfn.LAMBDA(_xlpm.id,_xlfn.LET(_xlpm.disIDs,IFERROR(_xlfn._xlws.FILTER(tblDismantleResults[ResultComponentID],tblDismantleResults[SourceComponentID]=_xlpm.id),""),_xlpm.disQtys,IFERROR(_xlfn._xlws.FILTER(tblDismantleResults[Quantity],tblDismantleResults[SourceComponentID]=_xlpm.id),""),_xlpm.disNames,IF(OR(_xlpm.disIDs="",ROWS(_xlpm.disIDs)=0),"",IFERROR(_xlfn.XLOOKUP(_xlpm.disIDs,tblComponent[ComponentID],tblComponent[ComponentName]),"")),_xlpm.dismantleText,IF(OR(_xlpm.disNames="",ROWS(_xlpm.disNames)=0),"Cannot be dismantled",_xlfn.TEXTJOIN(", ",TRUE,_xlpm.disNames&amp;" ("&amp;_xlpm.disQtys&amp;"x)")),_xlpm.dismantleText))),_xlpm.combinedMatch),IF(ROWS(_xlpm.resultName)=0,"No results found",_xlfn.HSTACK(_xlpm.resultName,_xlpm.resultRarity,_xlpm.resultPrice,_xlpm.resultTotalNeeded,_xlpm.resultUses,_xlpm.resultLocations,_xlpm.resultDismantles)))</f>
        <v>Advanced ARC Powercell</v>
      </c>
      <c r="B10" t="str">
        <v>Blue</v>
      </c>
      <c r="C10">
        <v>640</v>
      </c>
      <c r="D10">
        <v>1</v>
      </c>
      <c r="E10" t="str">
        <v>Surge Shield Recharger (1)</v>
      </c>
      <c r="F10" t="str">
        <v>ARC</v>
      </c>
      <c r="G10" t="str">
        <v>Cannot be dismantled</v>
      </c>
      <c r="AR10" t="str">
        <v>Residential</v>
      </c>
      <c r="AS10" t="str">
        <v>Bettina I</v>
      </c>
      <c r="AT10" t="str">
        <v>ARC Circuitry</v>
      </c>
    </row>
    <row r="11" spans="1:46">
      <c r="A11" t="str">
        <v>Advanced Electrical Components</v>
      </c>
      <c r="B11" t="str">
        <v>Blue</v>
      </c>
      <c r="C11">
        <v>1750</v>
      </c>
      <c r="D11">
        <v>17</v>
      </c>
      <c r="E11" t="str">
        <v>Gear Bench (5), Utility Station (5), Looting Mk.3 (Cautious) (2), Power Rod (2), Photoelectric Cloak (2), Raider Hatch Key (1)</v>
      </c>
      <c r="F11" t="str">
        <v>Electrical</v>
      </c>
      <c r="G11" t="str">
        <v>Electrical Components (1x), Wires (1x)</v>
      </c>
      <c r="K11" s="3"/>
      <c r="AR11" t="str">
        <v>Security</v>
      </c>
      <c r="AS11" t="str">
        <v>Binoculars</v>
      </c>
      <c r="AT11" t="str">
        <v>ARC Coolant</v>
      </c>
    </row>
    <row r="12" spans="1:46">
      <c r="A12" t="str">
        <v>Advanced Mechanical Components</v>
      </c>
      <c r="B12" t="str">
        <v>Blue</v>
      </c>
      <c r="C12">
        <v>1750</v>
      </c>
      <c r="D12">
        <v>12</v>
      </c>
      <c r="E12" t="str">
        <v>Gunsmith (5), Bettina I (3), Renegade I (2), Magnetic Accelerator (2)</v>
      </c>
      <c r="F12" t="str">
        <v>Mechanical</v>
      </c>
      <c r="G12" t="str">
        <v>Mechanical Components (1x), Wires (1x)</v>
      </c>
      <c r="AR12" t="str">
        <v>Technological</v>
      </c>
      <c r="AS12" t="str">
        <v>Combat Mk.1</v>
      </c>
      <c r="AT12" t="str">
        <v>ARC Flex Rubber</v>
      </c>
    </row>
    <row r="13" spans="1:46">
      <c r="A13" t="str">
        <v>Agave</v>
      </c>
      <c r="B13" t="str">
        <v>Green</v>
      </c>
      <c r="C13">
        <v>1000</v>
      </c>
      <c r="D13">
        <v>0</v>
      </c>
      <c r="E13" t="str">
        <v>No known use</v>
      </c>
      <c r="F13" t="str">
        <v>Unknown</v>
      </c>
      <c r="G13" t="str">
        <v>Assorted Seeds (3x)</v>
      </c>
      <c r="AS13" t="str">
        <v>Combat Mk.2</v>
      </c>
      <c r="AT13" t="str">
        <v>ARC Motion Core</v>
      </c>
    </row>
    <row r="14" spans="1:46">
      <c r="A14" t="str">
        <v>Air Freshener</v>
      </c>
      <c r="B14" t="str">
        <v>Gray</v>
      </c>
      <c r="C14">
        <v>2000</v>
      </c>
      <c r="D14">
        <v>0</v>
      </c>
      <c r="E14" t="str">
        <v>No known use</v>
      </c>
      <c r="F14" t="str">
        <v>Unknown</v>
      </c>
      <c r="G14" t="str">
        <v>Cannot be dismantled</v>
      </c>
      <c r="AS14" t="str">
        <v>Compensator I</v>
      </c>
      <c r="AT14" t="str">
        <v>ARC Performance Steel</v>
      </c>
    </row>
    <row r="15" spans="1:46">
      <c r="A15" t="str">
        <v>Alarm Clock</v>
      </c>
      <c r="B15" t="str">
        <v>Blue</v>
      </c>
      <c r="C15">
        <v>1000</v>
      </c>
      <c r="D15">
        <v>0</v>
      </c>
      <c r="E15" t="str">
        <v>No known use</v>
      </c>
      <c r="F15" t="str">
        <v>Unknown</v>
      </c>
      <c r="G15" t="str">
        <v>Processor (1x), Plastic Parts (6x)</v>
      </c>
      <c r="AS15" t="str">
        <v>Crude Explosives</v>
      </c>
      <c r="AT15" t="str">
        <v>ARC Powercell</v>
      </c>
    </row>
    <row r="16" spans="1:46">
      <c r="A16" t="str">
        <v>Antiseptic</v>
      </c>
      <c r="B16" t="str">
        <v>Blue</v>
      </c>
      <c r="C16">
        <v>1000</v>
      </c>
      <c r="D16">
        <v>9</v>
      </c>
      <c r="E16" t="str">
        <v>Medical Lab (8), Sterilized Bandage (1)</v>
      </c>
      <c r="F16" t="str">
        <v>Medical</v>
      </c>
      <c r="G16" t="str">
        <v>Chemicals (10x)</v>
      </c>
      <c r="AS16" t="str">
        <v>Door Blocker</v>
      </c>
      <c r="AT16" t="str">
        <v>ARC Synthetic Resin</v>
      </c>
    </row>
    <row r="17" spans="1:46">
      <c r="A17" t="str">
        <v>Apricot</v>
      </c>
      <c r="B17" t="str">
        <v>Green</v>
      </c>
      <c r="C17">
        <v>640</v>
      </c>
      <c r="D17">
        <v>15</v>
      </c>
      <c r="E17" t="str">
        <v>Scrappy (3), Scrappy (12)</v>
      </c>
      <c r="F17" t="str">
        <v>Nature</v>
      </c>
      <c r="G17" t="str">
        <v>Assorted Seeds (3x)</v>
      </c>
      <c r="K17" s="3"/>
      <c r="AS17" t="str">
        <v>Durable Cloth</v>
      </c>
      <c r="AT17" t="str">
        <v>ARC Thermo Lining</v>
      </c>
    </row>
    <row r="18" spans="1:46">
      <c r="A18" t="str">
        <v>ARC Alloy</v>
      </c>
      <c r="B18" t="str">
        <v>Green</v>
      </c>
      <c r="C18">
        <v>200</v>
      </c>
      <c r="D18">
        <v>32</v>
      </c>
      <c r="E18" t="str">
        <v>Explosives Station (6), Medical Lab (6), Utility Station (6), Light Shield (2), ARC Circuitry (6), ARC Motion Core (6)</v>
      </c>
      <c r="F18" t="str">
        <v>ARC</v>
      </c>
      <c r="G18" t="str">
        <v>Metal Parts (2x)</v>
      </c>
      <c r="AS18" t="str">
        <v>Electrical Components</v>
      </c>
      <c r="AT18" t="str">
        <v>Assorted Seeds</v>
      </c>
    </row>
    <row r="19" spans="1:46">
      <c r="A19" t="str">
        <v>ARC Circuitry</v>
      </c>
      <c r="B19" t="str">
        <v>Blue</v>
      </c>
      <c r="C19">
        <v>1000</v>
      </c>
      <c r="D19">
        <v>13</v>
      </c>
      <c r="E19" t="str">
        <v>Refiner (10), Medium Shield (1), Power Rod (2)</v>
      </c>
      <c r="F19" t="str">
        <v>ARC</v>
      </c>
      <c r="G19" t="str">
        <v>ARC Alloy (2x)</v>
      </c>
      <c r="AS19" t="str">
        <v>Explosive Compound</v>
      </c>
      <c r="AT19" t="str">
        <v>Bastion Cell</v>
      </c>
    </row>
    <row r="20" spans="1:46">
      <c r="A20" t="str">
        <v>ARC Coolant</v>
      </c>
      <c r="B20" t="str">
        <v>Blue</v>
      </c>
      <c r="C20">
        <v>1000</v>
      </c>
      <c r="D20">
        <v>0</v>
      </c>
      <c r="E20" t="str">
        <v>No known use</v>
      </c>
      <c r="F20" t="str">
        <v>Unknown</v>
      </c>
      <c r="G20" t="str">
        <v>Chemicals (16x)</v>
      </c>
      <c r="AS20" t="str">
        <v>Explosives Station</v>
      </c>
      <c r="AT20" t="str">
        <v>Battery</v>
      </c>
    </row>
    <row r="21" spans="1:46">
      <c r="A21" t="str">
        <v>ARC Flex Rubber</v>
      </c>
      <c r="B21" t="str">
        <v>Blue</v>
      </c>
      <c r="C21">
        <v>1000</v>
      </c>
      <c r="D21">
        <v>0</v>
      </c>
      <c r="E21" t="str">
        <v>No known use</v>
      </c>
      <c r="F21" t="str">
        <v>ARC</v>
      </c>
      <c r="G21" t="str">
        <v>Rubber Parts (16x)</v>
      </c>
      <c r="AS21" t="str">
        <v>Extended Light Mag I</v>
      </c>
      <c r="AT21" t="str">
        <v>Bicycle Pump</v>
      </c>
    </row>
    <row r="22" spans="1:46">
      <c r="A22" t="str">
        <v>ARC Motion Core</v>
      </c>
      <c r="B22" t="str">
        <v>Blue</v>
      </c>
      <c r="C22">
        <v>1000</v>
      </c>
      <c r="D22">
        <v>7</v>
      </c>
      <c r="E22" t="str">
        <v>Refiner (5), Magnetic Accelerator (2)</v>
      </c>
      <c r="F22" t="str">
        <v>ARC</v>
      </c>
      <c r="G22" t="str">
        <v>ARC Alloy (2x)</v>
      </c>
      <c r="AS22" t="str">
        <v>Extended Medium Mag I</v>
      </c>
      <c r="AT22" t="str">
        <v>Bloated Tuna Can</v>
      </c>
    </row>
    <row r="23" spans="1:46">
      <c r="A23" t="str">
        <v>ARC Performance Steel</v>
      </c>
      <c r="B23" t="str">
        <v>Blue</v>
      </c>
      <c r="C23">
        <v>1000</v>
      </c>
      <c r="D23">
        <v>0</v>
      </c>
      <c r="E23" t="str">
        <v>No known use</v>
      </c>
      <c r="F23" t="str">
        <v>ARC</v>
      </c>
      <c r="G23" t="str">
        <v>Metal Parts (12x)</v>
      </c>
      <c r="AS23" t="str">
        <v>Extended Shotgun Mag I</v>
      </c>
      <c r="AT23" t="str">
        <v>Blown Fuses</v>
      </c>
    </row>
    <row r="24" spans="1:46">
      <c r="A24" t="str">
        <v>ARC Powercell</v>
      </c>
      <c r="B24" t="str">
        <v>Gray</v>
      </c>
      <c r="C24">
        <v>640</v>
      </c>
      <c r="D24">
        <v>6</v>
      </c>
      <c r="E24" t="str">
        <v>Refiner (5), Shield Recharger (1)</v>
      </c>
      <c r="F24" t="str">
        <v>ARC</v>
      </c>
      <c r="G24" t="str">
        <v>Cannot be dismantled</v>
      </c>
      <c r="AS24" t="str">
        <v>Ferro I</v>
      </c>
      <c r="AT24" t="str">
        <v>Bombardier Cell</v>
      </c>
    </row>
    <row r="25" spans="1:46">
      <c r="A25" t="str">
        <v>ARC Synthetic Resin</v>
      </c>
      <c r="B25" t="str">
        <v>Blue</v>
      </c>
      <c r="C25">
        <v>1000</v>
      </c>
      <c r="D25">
        <v>0</v>
      </c>
      <c r="E25" t="str">
        <v>No known use</v>
      </c>
      <c r="F25" t="str">
        <v>ARC</v>
      </c>
      <c r="G25" t="str">
        <v>Plastic Parts (14x)</v>
      </c>
      <c r="AS25" t="str">
        <v>Gas Grenade</v>
      </c>
      <c r="AT25" t="str">
        <v>Breathtaking Snow Globe</v>
      </c>
    </row>
    <row r="26" spans="1:46">
      <c r="A26" t="str">
        <v>ARC Thermo Lining</v>
      </c>
      <c r="B26" t="str">
        <v>Blue</v>
      </c>
      <c r="C26">
        <v>1000</v>
      </c>
      <c r="D26">
        <v>0</v>
      </c>
      <c r="E26" t="str">
        <v>No known use</v>
      </c>
      <c r="F26" t="str">
        <v>ARC</v>
      </c>
      <c r="G26" t="str">
        <v>Fabric (16x)</v>
      </c>
      <c r="AS26" t="str">
        <v>Gear Bench</v>
      </c>
      <c r="AT26" t="str">
        <v>Broken Flashlight</v>
      </c>
    </row>
    <row r="27" spans="1:46">
      <c r="A27" t="str">
        <v>Assorted Seeds</v>
      </c>
      <c r="B27" t="str">
        <v>Gray</v>
      </c>
      <c r="C27">
        <v>100</v>
      </c>
      <c r="D27">
        <v>0</v>
      </c>
      <c r="E27" t="str">
        <v>No known use</v>
      </c>
      <c r="F27" t="str">
        <v>Nature</v>
      </c>
      <c r="G27" t="str">
        <v>Cannot be dismantled</v>
      </c>
      <c r="AS27" t="str">
        <v>Gunsmith</v>
      </c>
      <c r="AT27" t="str">
        <v>Broken Handheld Radio</v>
      </c>
    </row>
    <row r="28" spans="1:46">
      <c r="A28" t="str">
        <v>Bastion Cell</v>
      </c>
      <c r="B28" t="str">
        <v>Pink</v>
      </c>
      <c r="C28">
        <v>5000</v>
      </c>
      <c r="D28">
        <v>6</v>
      </c>
      <c r="E28" t="str">
        <v>Gear Bench (6)</v>
      </c>
      <c r="F28" t="str">
        <v>Unknown</v>
      </c>
      <c r="G28" t="str">
        <v>ARC Motion Core (2x), Advanced Mechanical Components (2x)</v>
      </c>
      <c r="AS28" t="str">
        <v>Hairpin I</v>
      </c>
      <c r="AT28" t="str">
        <v>Broken Riot Shield</v>
      </c>
    </row>
    <row r="29" spans="1:46">
      <c r="A29" t="str">
        <v>Battery</v>
      </c>
      <c r="B29" t="str">
        <v>Green</v>
      </c>
      <c r="C29">
        <v>250</v>
      </c>
      <c r="D29">
        <v>4</v>
      </c>
      <c r="E29" t="str">
        <v>Medium Shield (4)</v>
      </c>
      <c r="F29" t="str">
        <v>Electrical, Technological</v>
      </c>
      <c r="G29" t="str">
        <v>Metal Parts (2x)</v>
      </c>
      <c r="AS29" t="str">
        <v>Heavy Ammo</v>
      </c>
      <c r="AT29" t="str">
        <v>Broken Taser</v>
      </c>
    </row>
    <row r="30" spans="1:46">
      <c r="A30" t="str">
        <v>Bicycle Pump</v>
      </c>
      <c r="B30" t="str">
        <v>Blue</v>
      </c>
      <c r="C30">
        <v>1000</v>
      </c>
      <c r="D30">
        <v>0</v>
      </c>
      <c r="E30" t="str">
        <v>No known use</v>
      </c>
      <c r="F30" t="str">
        <v>Unknown</v>
      </c>
      <c r="G30" t="str">
        <v>Canister (4x), Metal Parts (10x)</v>
      </c>
      <c r="AS30" t="str">
        <v>Heavy Fuze Grenade</v>
      </c>
      <c r="AT30" t="str">
        <v>Burned ARC Circuitry</v>
      </c>
    </row>
    <row r="31" spans="1:46">
      <c r="A31" t="str">
        <v>Bloated Tuna Can</v>
      </c>
      <c r="B31" t="str">
        <v>Gray</v>
      </c>
      <c r="C31">
        <v>1000</v>
      </c>
      <c r="D31">
        <v>0</v>
      </c>
      <c r="E31" t="str">
        <v>No known use</v>
      </c>
      <c r="F31" t="str">
        <v>Unknown</v>
      </c>
      <c r="G31" t="str">
        <v>Cannot be dismantled</v>
      </c>
      <c r="AS31" t="str">
        <v>Heavy Shield</v>
      </c>
      <c r="AT31" t="str">
        <v>Camera Lens</v>
      </c>
    </row>
    <row r="32" spans="1:46">
      <c r="A32" t="str">
        <v>Blown Fuses</v>
      </c>
      <c r="B32" t="str">
        <v>Gray</v>
      </c>
      <c r="C32" t="str">
        <v>NA</v>
      </c>
      <c r="D32">
        <v>0</v>
      </c>
      <c r="E32" t="str">
        <v>No known use</v>
      </c>
      <c r="F32" t="str">
        <v>Unknown</v>
      </c>
      <c r="G32" t="str">
        <v>Cannot be dismantled</v>
      </c>
      <c r="AS32" t="str">
        <v>Herbal Bandage</v>
      </c>
      <c r="AT32" t="str">
        <v>Candle Holder</v>
      </c>
    </row>
    <row r="33" spans="1:46">
      <c r="A33" t="str">
        <v>Bombardier Cell</v>
      </c>
      <c r="B33" t="str">
        <v>Pink</v>
      </c>
      <c r="C33">
        <v>5000</v>
      </c>
      <c r="D33">
        <v>6</v>
      </c>
      <c r="E33" t="str">
        <v>Refiner (6)</v>
      </c>
      <c r="F33" t="str">
        <v>Unknown</v>
      </c>
      <c r="G33" t="str">
        <v>Advanced Mechanical Components (2x), ARC Alloy (2x)</v>
      </c>
      <c r="AS33" t="str">
        <v>Kettle I</v>
      </c>
      <c r="AT33" t="str">
        <v>Canister</v>
      </c>
    </row>
    <row r="34" spans="1:46">
      <c r="A34" t="str">
        <v>Breathtaking Snow Globe</v>
      </c>
      <c r="B34" t="str">
        <v>Pink</v>
      </c>
      <c r="C34">
        <v>7000</v>
      </c>
      <c r="D34">
        <v>0</v>
      </c>
      <c r="E34" t="str">
        <v>No known use</v>
      </c>
      <c r="F34" t="str">
        <v>Unknown</v>
      </c>
      <c r="G34" t="str">
        <v>Cannot be dismantled</v>
      </c>
      <c r="AS34" t="str">
        <v>Light Ammo</v>
      </c>
      <c r="AT34" t="str">
        <v>Cat Bed</v>
      </c>
    </row>
    <row r="35" spans="1:46">
      <c r="A35" t="str">
        <v>Broken Flashlight</v>
      </c>
      <c r="B35" t="str">
        <v>Blue</v>
      </c>
      <c r="C35">
        <v>1000</v>
      </c>
      <c r="D35">
        <v>0</v>
      </c>
      <c r="E35" t="str">
        <v>No known use</v>
      </c>
      <c r="F35" t="str">
        <v>Unknown</v>
      </c>
      <c r="G35" t="str">
        <v>Battery (3x), Metal Parts (7x)</v>
      </c>
      <c r="AS35" t="str">
        <v>Light Impact Grenade</v>
      </c>
      <c r="AT35" t="str">
        <v>Chemicals</v>
      </c>
    </row>
    <row r="36" spans="1:46">
      <c r="A36" t="str">
        <v>Broken Handheld Radio</v>
      </c>
      <c r="B36" t="str">
        <v>Blue</v>
      </c>
      <c r="C36">
        <v>1000</v>
      </c>
      <c r="D36">
        <v>0</v>
      </c>
      <c r="E36" t="str">
        <v>No known use</v>
      </c>
      <c r="F36" t="str">
        <v>Unknown</v>
      </c>
      <c r="G36" t="str">
        <v>Sensors (3x), Wires (3x)</v>
      </c>
      <c r="AS36" t="str">
        <v>Light Shield</v>
      </c>
      <c r="AT36" t="str">
        <v>Coffee Pot</v>
      </c>
    </row>
    <row r="37" spans="1:46">
      <c r="A37" t="str">
        <v>Broken Riot Shield</v>
      </c>
      <c r="B37" t="str">
        <v>Blue</v>
      </c>
      <c r="C37" t="str">
        <v>NA</v>
      </c>
      <c r="D37">
        <v>0</v>
      </c>
      <c r="E37" t="str">
        <v>No known use</v>
      </c>
      <c r="F37" t="str">
        <v>Unknown</v>
      </c>
      <c r="G37" t="str">
        <v>Plastic Parts (12x)</v>
      </c>
      <c r="AS37" t="str">
        <v>Li'l Smoke Grenade</v>
      </c>
      <c r="AT37" t="str">
        <v>Complex Gun Parts</v>
      </c>
    </row>
    <row r="38" spans="1:46">
      <c r="A38" t="str">
        <v>Broken Taser</v>
      </c>
      <c r="B38" t="str">
        <v>Blue</v>
      </c>
      <c r="C38">
        <v>1000</v>
      </c>
      <c r="D38">
        <v>0</v>
      </c>
      <c r="E38" t="str">
        <v>No known use</v>
      </c>
      <c r="F38" t="str">
        <v>Unknown</v>
      </c>
      <c r="G38" t="str">
        <v>Battery (2x), Wires (2x)</v>
      </c>
      <c r="AS38" t="str">
        <v>Looting Mk.1</v>
      </c>
      <c r="AT38" t="str">
        <v>Coolant</v>
      </c>
    </row>
    <row r="39" spans="1:46">
      <c r="A39" t="str">
        <v>Burned ARC Circuitry</v>
      </c>
      <c r="B39" t="str">
        <v>Green</v>
      </c>
      <c r="C39">
        <v>640</v>
      </c>
      <c r="D39">
        <v>0</v>
      </c>
      <c r="E39" t="str">
        <v>No known use</v>
      </c>
      <c r="F39" t="str">
        <v>Unknown</v>
      </c>
      <c r="G39" t="str">
        <v>ARC Alloy (2x)</v>
      </c>
      <c r="AS39" t="str">
        <v>Looting Mk.2</v>
      </c>
      <c r="AT39" t="str">
        <v>Cooling Coil</v>
      </c>
    </row>
    <row r="40" spans="1:46">
      <c r="A40" t="str">
        <v>Camera Lens</v>
      </c>
      <c r="B40" t="str">
        <v>Green</v>
      </c>
      <c r="C40">
        <v>640</v>
      </c>
      <c r="D40">
        <v>0</v>
      </c>
      <c r="E40" t="str">
        <v>No known use</v>
      </c>
      <c r="F40" t="str">
        <v>Unknown</v>
      </c>
      <c r="G40" t="str">
        <v>Plastic Parts (8x)</v>
      </c>
      <c r="AS40" t="str">
        <v>Looting Mk.3 (Cautious)</v>
      </c>
      <c r="AT40" t="str">
        <v>Cooling Fan</v>
      </c>
    </row>
    <row r="41" spans="1:46">
      <c r="A41" t="str">
        <v>Candle Holder</v>
      </c>
      <c r="B41" t="str">
        <v>Green</v>
      </c>
      <c r="C41">
        <v>270</v>
      </c>
      <c r="D41">
        <v>0</v>
      </c>
      <c r="E41" t="str">
        <v>No known use</v>
      </c>
      <c r="F41" t="str">
        <v>Unknown</v>
      </c>
      <c r="G41" t="str">
        <v>Metal Parts (8x)</v>
      </c>
      <c r="AS41" t="str">
        <v>Lure Grenade</v>
      </c>
      <c r="AT41" t="str">
        <v>Cracked Bioscanner</v>
      </c>
    </row>
    <row r="42" spans="1:46">
      <c r="A42" t="str">
        <v>Canister</v>
      </c>
      <c r="B42" t="str">
        <v>Green</v>
      </c>
      <c r="C42">
        <v>300</v>
      </c>
      <c r="D42">
        <v>5</v>
      </c>
      <c r="E42" t="str">
        <v>Bettina I (3), Heavy Fuze Grenade (2)</v>
      </c>
      <c r="F42" t="str">
        <v>Commercial</v>
      </c>
      <c r="G42" t="str">
        <v>Plastic Parts (3x)</v>
      </c>
      <c r="AS42" t="str">
        <v>Magnetic Accelerator</v>
      </c>
      <c r="AT42" t="str">
        <v>Crude Explosives</v>
      </c>
    </row>
    <row r="43" spans="1:46">
      <c r="A43" t="str">
        <v>Cat Bed</v>
      </c>
      <c r="B43" t="str">
        <v>Gray</v>
      </c>
      <c r="C43">
        <v>1000</v>
      </c>
      <c r="D43">
        <v>1</v>
      </c>
      <c r="E43" t="str">
        <v>Scrappy (1)</v>
      </c>
      <c r="F43" t="str">
        <v>Commercial, Residential</v>
      </c>
      <c r="G43" t="str">
        <v>Cannot be dismantled</v>
      </c>
      <c r="AS43" t="str">
        <v>Mechanical Components</v>
      </c>
      <c r="AT43" t="str">
        <v>Crumpled Plastic Bottle</v>
      </c>
    </row>
    <row r="44" spans="1:46">
      <c r="A44" t="str">
        <v>Chemicals</v>
      </c>
      <c r="B44" t="str">
        <v>Gray</v>
      </c>
      <c r="C44">
        <v>50</v>
      </c>
      <c r="D44">
        <v>92</v>
      </c>
      <c r="E44" t="str">
        <v>Explosives Station (50), Heavy Ammo (2), Light Ammo (2), Medium Ammo (2), Shotgun Ammo (2), Light Impact Grenade (3), Antiseptic (10), Crude Explosives (6), Gas Grenade (4), Light Impact Grenade (3), Adrenaline Shot (3), Li'l Smoke Grenade (5)</v>
      </c>
      <c r="F44" t="str">
        <v>Mechanical, Medical, Residential</v>
      </c>
      <c r="G44" t="str">
        <v>Cannot be dismantled</v>
      </c>
      <c r="AS44" t="str">
        <v>Medical Lab</v>
      </c>
      <c r="AT44" t="str">
        <v>Damaged ARC Motion Core</v>
      </c>
    </row>
    <row r="45" spans="1:46">
      <c r="A45" t="str">
        <v>Coffee Pot</v>
      </c>
      <c r="B45" t="str">
        <v>Gray</v>
      </c>
      <c r="C45">
        <v>2000</v>
      </c>
      <c r="D45">
        <v>0</v>
      </c>
      <c r="E45" t="str">
        <v>No known use</v>
      </c>
      <c r="F45" t="str">
        <v>Unknown</v>
      </c>
      <c r="G45" t="str">
        <v>Cannot be dismantled</v>
      </c>
      <c r="AS45" t="str">
        <v>Medium Ammo</v>
      </c>
      <c r="AT45" t="str">
        <v>Damaged ARC Powercell</v>
      </c>
    </row>
    <row r="46" spans="1:46">
      <c r="A46" t="str">
        <v>Complex Gun Parts</v>
      </c>
      <c r="B46" t="str">
        <v>Pink</v>
      </c>
      <c r="C46">
        <v>1000</v>
      </c>
      <c r="D46">
        <v>0</v>
      </c>
      <c r="E46" t="str">
        <v>No known use</v>
      </c>
      <c r="F46" t="str">
        <v>Security</v>
      </c>
      <c r="G46" t="str">
        <v>Simple Gun Parts (3x)</v>
      </c>
      <c r="AS46" t="str">
        <v>Medium Shield</v>
      </c>
      <c r="AT46" t="str">
        <v>Damaged Fireball Burner</v>
      </c>
    </row>
    <row r="47" spans="1:46">
      <c r="A47" t="str">
        <v>Coolant</v>
      </c>
      <c r="B47" t="str">
        <v>Blue</v>
      </c>
      <c r="C47">
        <v>1000</v>
      </c>
      <c r="D47">
        <v>0</v>
      </c>
      <c r="E47" t="str">
        <v>No known use</v>
      </c>
      <c r="F47" t="str">
        <v>Unknown</v>
      </c>
      <c r="G47" t="str">
        <v>Chemicals (5x), Oil (2x)</v>
      </c>
      <c r="AS47" t="str">
        <v>Mod Components</v>
      </c>
      <c r="AT47" t="str">
        <v>Damaged Heat Sink</v>
      </c>
    </row>
    <row r="48" spans="1:46">
      <c r="A48" t="str">
        <v>Cooling Coil</v>
      </c>
      <c r="B48" t="str">
        <v>Blue</v>
      </c>
      <c r="C48">
        <v>1000</v>
      </c>
      <c r="D48">
        <v>0</v>
      </c>
      <c r="E48" t="str">
        <v>No known use</v>
      </c>
      <c r="F48" t="str">
        <v>Unknown</v>
      </c>
      <c r="G48" t="str">
        <v>Chemicals (6x), Steel Spring (2x)</v>
      </c>
      <c r="AS48" t="str">
        <v>Muzzle Brake I</v>
      </c>
      <c r="AT48" t="str">
        <v>Damaged Hornet Driver</v>
      </c>
    </row>
    <row r="49" spans="1:46">
      <c r="A49" t="str">
        <v>Cooling Fan</v>
      </c>
      <c r="B49" t="str">
        <v>Blue</v>
      </c>
      <c r="C49">
        <v>2000</v>
      </c>
      <c r="D49">
        <v>0</v>
      </c>
      <c r="E49" t="str">
        <v>No known use</v>
      </c>
      <c r="F49" t="str">
        <v>Unknown</v>
      </c>
      <c r="G49" t="str">
        <v>Plastic Parts (14x), Battery (4x)</v>
      </c>
      <c r="AS49" t="str">
        <v>Photoelectric Cloak</v>
      </c>
      <c r="AT49" t="str">
        <v>Damaged Rocketeer Driver</v>
      </c>
    </row>
    <row r="50" spans="1:46">
      <c r="A50" t="str">
        <v>Cracked Bioscanner</v>
      </c>
      <c r="B50" t="str">
        <v>Blue</v>
      </c>
      <c r="C50">
        <v>1000</v>
      </c>
      <c r="D50">
        <v>2</v>
      </c>
      <c r="E50" t="str">
        <v>Medical Lab (2)</v>
      </c>
      <c r="F50" t="str">
        <v>Medical</v>
      </c>
      <c r="G50" t="str">
        <v>Rubber Parts (3x), Battery (5x)</v>
      </c>
      <c r="AS50" t="str">
        <v>Power Rod</v>
      </c>
      <c r="AT50" t="str">
        <v>Damaged Wasp Driver</v>
      </c>
    </row>
    <row r="51" spans="1:46">
      <c r="A51" t="str">
        <v>Crude Explosives</v>
      </c>
      <c r="B51" t="str">
        <v>Green</v>
      </c>
      <c r="C51">
        <v>270</v>
      </c>
      <c r="D51">
        <v>10</v>
      </c>
      <c r="E51" t="str">
        <v>Explosives Station (5), Explosive Compound (2), Shrapnel Grenade (1), Snap Blast Grenade (2)</v>
      </c>
      <c r="F51" t="str">
        <v>Industrial, Security</v>
      </c>
      <c r="G51" t="str">
        <v>Chemicals (3x)</v>
      </c>
      <c r="AS51" t="str">
        <v>Raider Hatch Key</v>
      </c>
      <c r="AT51" t="str">
        <v>Dart Board</v>
      </c>
    </row>
    <row r="52" spans="1:46">
      <c r="A52" t="str">
        <v>Crumpled Plastic Bottle</v>
      </c>
      <c r="B52" t="str">
        <v>Green</v>
      </c>
      <c r="C52">
        <v>80</v>
      </c>
      <c r="D52">
        <v>0</v>
      </c>
      <c r="E52" t="str">
        <v>No known use</v>
      </c>
      <c r="F52" t="str">
        <v>Unknown</v>
      </c>
      <c r="G52" t="str">
        <v>Plastic Parts (3x)</v>
      </c>
      <c r="AS52" t="str">
        <v>Rattler I</v>
      </c>
      <c r="AT52" t="str">
        <v>Deflated Football</v>
      </c>
    </row>
    <row r="53" spans="1:46">
      <c r="A53" t="str">
        <v>Damaged ARC Motion Core</v>
      </c>
      <c r="B53" t="str">
        <v>Green</v>
      </c>
      <c r="C53">
        <v>640</v>
      </c>
      <c r="D53">
        <v>0</v>
      </c>
      <c r="E53" t="str">
        <v>No known use</v>
      </c>
      <c r="F53" t="str">
        <v>Unknown</v>
      </c>
      <c r="G53" t="str">
        <v>ARC Alloy (2x)</v>
      </c>
      <c r="AS53" t="str">
        <v>Refiner</v>
      </c>
      <c r="AT53" t="str">
        <v>Degraded ARC Rubber</v>
      </c>
    </row>
    <row r="54" spans="1:46">
      <c r="A54" t="str">
        <v>Damaged ARC Powercell</v>
      </c>
      <c r="B54" t="str">
        <v>Green</v>
      </c>
      <c r="C54">
        <v>293</v>
      </c>
      <c r="D54">
        <v>0</v>
      </c>
      <c r="E54" t="str">
        <v>No known use</v>
      </c>
      <c r="F54" t="str">
        <v>Unknown</v>
      </c>
      <c r="G54" t="str">
        <v>ARC Alloy (1x)</v>
      </c>
      <c r="AS54" t="str">
        <v>Renegade I</v>
      </c>
      <c r="AT54" t="str">
        <v>Diving Goggles</v>
      </c>
    </row>
    <row r="55" spans="1:46">
      <c r="A55" t="str">
        <v>Damaged Fireball Burner</v>
      </c>
      <c r="B55" t="str">
        <v>Gray</v>
      </c>
      <c r="C55">
        <v>270</v>
      </c>
      <c r="D55">
        <v>0</v>
      </c>
      <c r="E55" t="str">
        <v>No known use</v>
      </c>
      <c r="F55" t="str">
        <v>Unknown</v>
      </c>
      <c r="G55" t="str">
        <v>ARC Alloy (1x)</v>
      </c>
      <c r="AS55" t="str">
        <v>Scrappy</v>
      </c>
      <c r="AT55" t="str">
        <v>Dog Collar</v>
      </c>
    </row>
    <row r="56" spans="1:46">
      <c r="A56" t="str">
        <v>Damaged Heat Sink</v>
      </c>
      <c r="B56" t="str">
        <v>Blue</v>
      </c>
      <c r="C56">
        <v>1000</v>
      </c>
      <c r="D56">
        <v>2</v>
      </c>
      <c r="E56" t="str">
        <v>Utility Station (2)</v>
      </c>
      <c r="F56" t="str">
        <v>Technological</v>
      </c>
      <c r="G56" t="str">
        <v>Metal Parts (6x), Wires (2x)</v>
      </c>
      <c r="AS56" t="str">
        <v>Shield Recharger</v>
      </c>
      <c r="AT56" t="str">
        <v>Dried-Out ARC Resin</v>
      </c>
    </row>
    <row r="57" spans="1:46">
      <c r="A57" t="str">
        <v>Damaged Hornet Driver</v>
      </c>
      <c r="B57" t="str">
        <v>Gray</v>
      </c>
      <c r="C57">
        <v>640</v>
      </c>
      <c r="D57">
        <v>0</v>
      </c>
      <c r="E57" t="str">
        <v>No known use</v>
      </c>
      <c r="F57" t="str">
        <v>Unknown</v>
      </c>
      <c r="G57" t="str">
        <v>ARC Alloy (2x)</v>
      </c>
      <c r="AS57" t="str">
        <v>Shotgun Ammo</v>
      </c>
      <c r="AT57" t="str">
        <v>Duct Tape</v>
      </c>
    </row>
    <row r="58" spans="1:46">
      <c r="A58" t="str">
        <v>Damaged Rocketeer Driver</v>
      </c>
      <c r="B58" t="str">
        <v>Gray</v>
      </c>
      <c r="C58">
        <v>2000</v>
      </c>
      <c r="D58">
        <v>0</v>
      </c>
      <c r="E58" t="str">
        <v>No known use</v>
      </c>
      <c r="F58" t="str">
        <v>Unknown</v>
      </c>
      <c r="G58" t="str">
        <v>ARC Alloy (3x)</v>
      </c>
      <c r="AS58" t="str">
        <v>Shotgun Choke I</v>
      </c>
      <c r="AT58" t="str">
        <v>Durable Cloth</v>
      </c>
    </row>
    <row r="59" spans="1:46">
      <c r="A59" t="str">
        <v>Damaged Wasp Driver</v>
      </c>
      <c r="B59" t="str">
        <v>Gray</v>
      </c>
      <c r="C59">
        <v>270</v>
      </c>
      <c r="D59">
        <v>0</v>
      </c>
      <c r="E59" t="str">
        <v>No known use</v>
      </c>
      <c r="F59" t="str">
        <v>Unknown</v>
      </c>
      <c r="G59" t="str">
        <v>ARC Alloy (1x)</v>
      </c>
      <c r="AS59" t="str">
        <v>Shrapnel Grenade</v>
      </c>
      <c r="AT59" t="str">
        <v>Electrical Components</v>
      </c>
    </row>
    <row r="60" spans="1:46">
      <c r="A60" t="str">
        <v>Dart Board</v>
      </c>
      <c r="B60" t="str">
        <v>Gray</v>
      </c>
      <c r="C60">
        <v>2000</v>
      </c>
      <c r="D60">
        <v>0</v>
      </c>
      <c r="E60" t="str">
        <v>No known use</v>
      </c>
      <c r="F60" t="str">
        <v>Unknown</v>
      </c>
      <c r="G60" t="str">
        <v>Cannot be dismantled</v>
      </c>
      <c r="AS60" t="str">
        <v>Snap Blast Grenade</v>
      </c>
      <c r="AT60" t="str">
        <v>Empty Wine Bottle</v>
      </c>
    </row>
    <row r="61" spans="1:46">
      <c r="A61" t="str">
        <v>Deflated Football</v>
      </c>
      <c r="B61" t="str">
        <v>Green</v>
      </c>
      <c r="C61">
        <v>1000</v>
      </c>
      <c r="D61">
        <v>0</v>
      </c>
      <c r="E61" t="str">
        <v>No known use</v>
      </c>
      <c r="F61" t="str">
        <v>Unknown</v>
      </c>
      <c r="G61" t="str">
        <v>Rubber Parts (15x)</v>
      </c>
      <c r="AS61" t="str">
        <v>Stable Stock I</v>
      </c>
      <c r="AT61" t="str">
        <v>Exodus Modules</v>
      </c>
    </row>
    <row r="62" spans="1:46">
      <c r="A62" t="str">
        <v>Degraded ARC Rubber</v>
      </c>
      <c r="B62" t="str">
        <v>Green</v>
      </c>
      <c r="C62">
        <v>640</v>
      </c>
      <c r="D62">
        <v>0</v>
      </c>
      <c r="E62" t="str">
        <v>No known use</v>
      </c>
      <c r="F62" t="str">
        <v>Unknown</v>
      </c>
      <c r="G62" t="str">
        <v>Rubber Parts (11x)</v>
      </c>
      <c r="AS62" t="str">
        <v>Stable Stock II</v>
      </c>
      <c r="AT62" t="str">
        <v>Expired Pasta</v>
      </c>
    </row>
    <row r="63" spans="1:46">
      <c r="A63" t="str">
        <v>Diving Goggles</v>
      </c>
      <c r="B63" t="str">
        <v>Blue</v>
      </c>
      <c r="C63">
        <v>640</v>
      </c>
      <c r="D63">
        <v>0</v>
      </c>
      <c r="E63" t="str">
        <v>No known use</v>
      </c>
      <c r="F63" t="str">
        <v>Unknown</v>
      </c>
      <c r="G63" t="str">
        <v>Rubber Parts (12x)</v>
      </c>
      <c r="AS63" t="str">
        <v>Sterilized Bandage</v>
      </c>
      <c r="AT63" t="str">
        <v>Expired Respirator</v>
      </c>
    </row>
    <row r="64" spans="1:46">
      <c r="A64" t="str">
        <v>Dog Collar</v>
      </c>
      <c r="B64" t="str">
        <v>Blue</v>
      </c>
      <c r="C64">
        <v>270</v>
      </c>
      <c r="D64">
        <v>1</v>
      </c>
      <c r="E64" t="str">
        <v>Scrappy (1)</v>
      </c>
      <c r="F64" t="str">
        <v>Unknown</v>
      </c>
      <c r="G64" t="str">
        <v>Fabric (8x), Metal Parts (1x)</v>
      </c>
      <c r="AS64" t="str">
        <v>Stitcher I</v>
      </c>
      <c r="AT64" t="str">
        <v>Explosive Compound</v>
      </c>
    </row>
    <row r="65" spans="1:46">
      <c r="A65" t="str">
        <v>Dried-Out ARC Resin</v>
      </c>
      <c r="B65" t="str">
        <v>Green</v>
      </c>
      <c r="C65">
        <v>640</v>
      </c>
      <c r="D65">
        <v>0</v>
      </c>
      <c r="E65" t="str">
        <v>No known use</v>
      </c>
      <c r="F65" t="str">
        <v>Unknown</v>
      </c>
      <c r="G65" t="str">
        <v>Plastic Parts (9x)</v>
      </c>
      <c r="AS65" t="str">
        <v>Surge Shield Recharger</v>
      </c>
      <c r="AT65" t="str">
        <v>Fabric</v>
      </c>
    </row>
    <row r="66" spans="1:46">
      <c r="A66" t="str">
        <v>Duct Tape</v>
      </c>
      <c r="B66" t="str">
        <v>Green</v>
      </c>
      <c r="C66">
        <v>300</v>
      </c>
      <c r="D66">
        <v>6</v>
      </c>
      <c r="E66" t="str">
        <v>Stable Stock II (3), Angled Grip I (1), Stable Stock I (1), Vertical Grip I (1)</v>
      </c>
      <c r="F66" t="str">
        <v>Commercial, Residential</v>
      </c>
      <c r="G66" t="str">
        <v>Fabric (3x)</v>
      </c>
      <c r="AS66" t="str">
        <v>Tactical Mk.1</v>
      </c>
      <c r="AT66" t="str">
        <v>Faded Photograph</v>
      </c>
    </row>
    <row r="67" spans="1:46">
      <c r="A67" t="str">
        <v>Durable Cloth</v>
      </c>
      <c r="B67" t="str">
        <v>Green</v>
      </c>
      <c r="C67">
        <v>640</v>
      </c>
      <c r="D67">
        <v>8</v>
      </c>
      <c r="E67" t="str">
        <v>Medical Lab (5), Sterilized Bandage (2), Herbal Bandage (1)</v>
      </c>
      <c r="F67" t="str">
        <v>Commercial, Medical</v>
      </c>
      <c r="G67" t="str">
        <v>Fabric (6x)</v>
      </c>
      <c r="AS67" t="str">
        <v>Tactical Mk.2</v>
      </c>
      <c r="AT67" t="str">
        <v>Fertilizer</v>
      </c>
    </row>
    <row r="68" spans="1:46">
      <c r="A68" t="str">
        <v>Electrical Components</v>
      </c>
      <c r="B68" t="str">
        <v>Green</v>
      </c>
      <c r="C68">
        <v>640</v>
      </c>
      <c r="D68">
        <v>20</v>
      </c>
      <c r="E68" t="str">
        <v>Gear Bench (5), Utility Station (5), Combat Mk.2 (2), Looting Mk.2 (2), Tactical Mk.2 (2), Advanced Electrical Components (2), Surge Shield Recharger (1), Lure Grenade (1)</v>
      </c>
      <c r="F68" t="str">
        <v>Electrical</v>
      </c>
      <c r="G68" t="str">
        <v>Plastic Parts (3x), Rubber Parts (3x)</v>
      </c>
      <c r="AS68" t="str">
        <v>Utility Station</v>
      </c>
      <c r="AT68" t="str">
        <v>Film Reel</v>
      </c>
    </row>
    <row r="69" spans="1:46">
      <c r="A69" t="str">
        <v>Empty Wine Bottle</v>
      </c>
      <c r="B69" t="str">
        <v>Gray</v>
      </c>
      <c r="C69">
        <v>1000</v>
      </c>
      <c r="D69">
        <v>0</v>
      </c>
      <c r="E69" t="str">
        <v>No known use</v>
      </c>
      <c r="F69" t="str">
        <v>Unknown</v>
      </c>
      <c r="G69" t="str">
        <v>Cannot be dismantled</v>
      </c>
      <c r="AS69" t="str">
        <v>Vertical Grip I</v>
      </c>
      <c r="AT69" t="str">
        <v>Fine Wristwatch</v>
      </c>
    </row>
    <row r="70" spans="1:46">
      <c r="A70" t="str">
        <v>Exodus Modules</v>
      </c>
      <c r="B70" t="str">
        <v>Pink</v>
      </c>
      <c r="C70">
        <v>2750</v>
      </c>
      <c r="D70">
        <v>0</v>
      </c>
      <c r="E70" t="str">
        <v>No known use</v>
      </c>
      <c r="F70" t="str">
        <v>Exodus</v>
      </c>
      <c r="G70" t="str">
        <v>Magnet (2x), Mechanical Components (1x)</v>
      </c>
      <c r="AS70" t="str">
        <v>Zipline</v>
      </c>
      <c r="AT70" t="str">
        <v>Fireball Burner</v>
      </c>
    </row>
    <row r="71" spans="1:46">
      <c r="A71" t="str">
        <v>Expired Pasta</v>
      </c>
      <c r="B71" t="str">
        <v>Gray</v>
      </c>
      <c r="C71">
        <v>1000</v>
      </c>
      <c r="D71">
        <v>0</v>
      </c>
      <c r="E71" t="str">
        <v>No known use</v>
      </c>
      <c r="F71" t="str">
        <v>Unknown</v>
      </c>
      <c r="G71" t="str">
        <v>Cannot be dismantled</v>
      </c>
      <c r="AT71" t="str">
        <v>Fried Motherboard</v>
      </c>
    </row>
    <row r="72" spans="1:46">
      <c r="A72" t="str">
        <v>Expired Respirator</v>
      </c>
      <c r="B72" t="str">
        <v>Blue</v>
      </c>
      <c r="C72">
        <v>640</v>
      </c>
      <c r="D72">
        <v>0</v>
      </c>
      <c r="E72" t="str">
        <v>No known use</v>
      </c>
      <c r="F72" t="str">
        <v>Unknown</v>
      </c>
      <c r="G72" t="str">
        <v>Rubber Parts (8x), Fabric (4x)</v>
      </c>
      <c r="AT72" t="str">
        <v>Frying Pan</v>
      </c>
    </row>
    <row r="73" spans="1:46">
      <c r="A73" t="str">
        <v>Explosive Compound</v>
      </c>
      <c r="B73" t="str">
        <v>Blue</v>
      </c>
      <c r="C73">
        <v>1000</v>
      </c>
      <c r="D73">
        <v>6</v>
      </c>
      <c r="E73" t="str">
        <v>Explosives Station (5), Heavy Fuze Grenade (1)</v>
      </c>
      <c r="F73" t="str">
        <v>Industrial, Security</v>
      </c>
      <c r="G73" t="str">
        <v>Crude Explosives (2x)</v>
      </c>
      <c r="AT73" t="str">
        <v>Garlic Press</v>
      </c>
    </row>
    <row r="74" spans="1:46">
      <c r="A74" t="str">
        <v>Fabric</v>
      </c>
      <c r="B74" t="str">
        <v>Gray</v>
      </c>
      <c r="C74">
        <v>50</v>
      </c>
      <c r="D74">
        <v>99</v>
      </c>
      <c r="E74" t="str">
        <v>Gear Bench (30), Medical Lab (50), Bandage (5), Durable Cloth (14)</v>
      </c>
      <c r="F74" t="str">
        <v>Commercial, Medical, Residential</v>
      </c>
      <c r="G74" t="str">
        <v>Cannot be dismantled</v>
      </c>
      <c r="AT74" t="str">
        <v>Great Mullein</v>
      </c>
    </row>
    <row r="75" spans="1:46">
      <c r="A75" t="str">
        <v>Faded Photograph</v>
      </c>
      <c r="B75" t="str">
        <v>Gray</v>
      </c>
      <c r="C75">
        <v>640</v>
      </c>
      <c r="D75">
        <v>0</v>
      </c>
      <c r="E75" t="str">
        <v>No known use</v>
      </c>
      <c r="F75" t="str">
        <v>Unknown</v>
      </c>
      <c r="G75" t="str">
        <v>Cannot be dismantled</v>
      </c>
      <c r="AT75" t="str">
        <v>Headphones</v>
      </c>
    </row>
    <row r="76" spans="1:46">
      <c r="A76" t="str">
        <v>Fertilizer</v>
      </c>
      <c r="B76" t="str">
        <v>Green</v>
      </c>
      <c r="C76">
        <v>1000</v>
      </c>
      <c r="D76">
        <v>0</v>
      </c>
      <c r="E76" t="str">
        <v>No known use</v>
      </c>
      <c r="F76" t="str">
        <v>Unknown</v>
      </c>
      <c r="G76" t="str">
        <v>Assorted Seeds (2x)</v>
      </c>
      <c r="AT76" t="str">
        <v>Heavy Gun Parts</v>
      </c>
    </row>
    <row r="77" spans="1:46">
      <c r="A77" t="str">
        <v>Film Reel</v>
      </c>
      <c r="B77" t="str">
        <v>Gray</v>
      </c>
      <c r="C77">
        <v>2000</v>
      </c>
      <c r="D77">
        <v>0</v>
      </c>
      <c r="E77" t="str">
        <v>No known use</v>
      </c>
      <c r="F77" t="str">
        <v>Unknown</v>
      </c>
      <c r="G77" t="str">
        <v>Cannot be dismantled</v>
      </c>
      <c r="AT77" t="str">
        <v>Hornet Driver</v>
      </c>
    </row>
    <row r="78" spans="1:46">
      <c r="A78" t="str">
        <v>Fine Wristwatch</v>
      </c>
      <c r="B78" t="str">
        <v>Gray</v>
      </c>
      <c r="C78">
        <v>3000</v>
      </c>
      <c r="D78">
        <v>0</v>
      </c>
      <c r="E78" t="str">
        <v>No known use</v>
      </c>
      <c r="F78" t="str">
        <v>Unknown</v>
      </c>
      <c r="G78" t="str">
        <v>Cannot be dismantled</v>
      </c>
      <c r="AT78" t="str">
        <v>Household Cleaner</v>
      </c>
    </row>
    <row r="79" spans="1:46">
      <c r="A79" t="str">
        <v>Fireball Burner</v>
      </c>
      <c r="B79" t="str">
        <v>Green</v>
      </c>
      <c r="C79">
        <v>640</v>
      </c>
      <c r="D79">
        <v>8</v>
      </c>
      <c r="E79" t="str">
        <v>Refiner (8)</v>
      </c>
      <c r="F79" t="str">
        <v>ARC</v>
      </c>
      <c r="G79" t="str">
        <v>ARC Alloy (1x), Chemicals (1x)</v>
      </c>
      <c r="AT79" t="str">
        <v>Humidifier</v>
      </c>
    </row>
    <row r="80" spans="1:46">
      <c r="A80" t="str">
        <v>Fried Motherboard</v>
      </c>
      <c r="B80" t="str">
        <v>Blue</v>
      </c>
      <c r="C80">
        <v>2000</v>
      </c>
      <c r="D80">
        <v>3</v>
      </c>
      <c r="E80" t="str">
        <v>Utility Station (3)</v>
      </c>
      <c r="F80" t="str">
        <v>Technological</v>
      </c>
      <c r="G80" t="str">
        <v>Plastic Parts (5x), Electrical Components (1x)</v>
      </c>
      <c r="AT80" t="str">
        <v>Ice Cream Scooper</v>
      </c>
    </row>
    <row r="81" spans="1:46">
      <c r="A81" t="str">
        <v>Frying Pan</v>
      </c>
      <c r="B81" t="str">
        <v>Blue</v>
      </c>
      <c r="C81">
        <v>270</v>
      </c>
      <c r="D81">
        <v>0</v>
      </c>
      <c r="E81" t="str">
        <v>No known use</v>
      </c>
      <c r="F81" t="str">
        <v>Unknown</v>
      </c>
      <c r="G81" t="str">
        <v>Metal Parts (8x)</v>
      </c>
      <c r="AT81" t="str">
        <v>Impure ARC Coolant</v>
      </c>
    </row>
    <row r="82" spans="1:46">
      <c r="A82" t="str">
        <v>Garlic Press</v>
      </c>
      <c r="B82" t="str">
        <v>Green</v>
      </c>
      <c r="C82">
        <v>1000</v>
      </c>
      <c r="D82">
        <v>0</v>
      </c>
      <c r="E82" t="str">
        <v>No known use</v>
      </c>
      <c r="F82" t="str">
        <v>Unknown</v>
      </c>
      <c r="G82" t="str">
        <v>Metal Parts (14x)</v>
      </c>
      <c r="AT82" t="str">
        <v>Industrial Battery</v>
      </c>
    </row>
    <row r="83" spans="1:46">
      <c r="A83" t="str">
        <v>Great Mullein</v>
      </c>
      <c r="B83" t="str">
        <v>Green</v>
      </c>
      <c r="C83">
        <v>300</v>
      </c>
      <c r="D83">
        <v>3</v>
      </c>
      <c r="E83" t="str">
        <v>Antiseptic (2), Herbal Bandage (1)</v>
      </c>
      <c r="F83" t="str">
        <v>Nature</v>
      </c>
      <c r="G83" t="str">
        <v>Assorted Seeds (4x)</v>
      </c>
      <c r="AT83" t="str">
        <v>Industrial Charger</v>
      </c>
    </row>
    <row r="84" spans="1:46">
      <c r="A84" t="str">
        <v>Headphones</v>
      </c>
      <c r="B84" t="str">
        <v>Blue</v>
      </c>
      <c r="C84">
        <v>1000</v>
      </c>
      <c r="D84">
        <v>0</v>
      </c>
      <c r="E84" t="str">
        <v>No known use</v>
      </c>
      <c r="F84" t="str">
        <v>Unknown</v>
      </c>
      <c r="G84" t="str">
        <v>Rubber Parts (6x), Speaker Component (2x)</v>
      </c>
      <c r="AT84" t="str">
        <v>Industrial Magnet</v>
      </c>
    </row>
    <row r="85" spans="1:46">
      <c r="A85" t="str">
        <v>Heavy Gun Parts</v>
      </c>
      <c r="B85" t="str">
        <v>Blue</v>
      </c>
      <c r="C85">
        <v>700</v>
      </c>
      <c r="D85">
        <v>3</v>
      </c>
      <c r="E85" t="str">
        <v>Bettina I (3)</v>
      </c>
      <c r="F85" t="str">
        <v>Security, Raider</v>
      </c>
      <c r="G85" t="str">
        <v>Simple Gun Parts (2x)</v>
      </c>
      <c r="AT85" t="str">
        <v>Laboratory Reagents</v>
      </c>
    </row>
    <row r="86" spans="1:46">
      <c r="A86" t="str">
        <v>Hornet Driver</v>
      </c>
      <c r="B86" t="str">
        <v>Blue</v>
      </c>
      <c r="C86">
        <v>2000</v>
      </c>
      <c r="D86">
        <v>5</v>
      </c>
      <c r="E86" t="str">
        <v>Gear Bench (5)</v>
      </c>
      <c r="F86" t="str">
        <v>ARC</v>
      </c>
      <c r="G86" t="str">
        <v>ARC Alloy (2x), Electrical Components (2x)</v>
      </c>
      <c r="AT86" t="str">
        <v>Lance's Mixtape (5th Edition)</v>
      </c>
    </row>
    <row r="87" spans="1:46">
      <c r="A87" t="str">
        <v>Household Cleaner</v>
      </c>
      <c r="B87" t="str">
        <v>Green</v>
      </c>
      <c r="C87">
        <v>640</v>
      </c>
      <c r="D87">
        <v>0</v>
      </c>
      <c r="E87" t="str">
        <v>No known use</v>
      </c>
      <c r="F87" t="str">
        <v>Unknown</v>
      </c>
      <c r="G87" t="str">
        <v>Chemicals (13x)</v>
      </c>
      <c r="AT87" t="str">
        <v>Leaper Pulse Unit</v>
      </c>
    </row>
    <row r="88" spans="1:46">
      <c r="A88" t="str">
        <v>Humidifier</v>
      </c>
      <c r="B88" t="str">
        <v>Blue</v>
      </c>
      <c r="C88">
        <v>542</v>
      </c>
      <c r="D88">
        <v>0</v>
      </c>
      <c r="E88" t="str">
        <v>No known use</v>
      </c>
      <c r="F88" t="str">
        <v>Unknown</v>
      </c>
      <c r="G88" t="str">
        <v>Canister (3x), Wires (2x)</v>
      </c>
      <c r="AT88" t="str">
        <v>Lemon</v>
      </c>
    </row>
    <row r="89" spans="1:46">
      <c r="A89" t="str">
        <v>Ice Cream Scooper</v>
      </c>
      <c r="B89" t="str">
        <v>Green</v>
      </c>
      <c r="C89">
        <v>640</v>
      </c>
      <c r="D89">
        <v>0</v>
      </c>
      <c r="E89" t="str">
        <v>No known use</v>
      </c>
      <c r="F89" t="str">
        <v>Unknown</v>
      </c>
      <c r="G89" t="str">
        <v>Metal Parts (7x)</v>
      </c>
      <c r="AT89" t="str">
        <v>Light Bulb</v>
      </c>
    </row>
    <row r="90" spans="1:46">
      <c r="A90" t="str">
        <v>Impure ARC Coolant</v>
      </c>
      <c r="B90" t="str">
        <v>Green</v>
      </c>
      <c r="C90">
        <v>640</v>
      </c>
      <c r="D90">
        <v>0</v>
      </c>
      <c r="E90" t="str">
        <v>No known use</v>
      </c>
      <c r="F90" t="str">
        <v>Unknown</v>
      </c>
      <c r="G90" t="str">
        <v>Chemicals (13x)</v>
      </c>
      <c r="AT90" t="str">
        <v>Light Gun Parts</v>
      </c>
    </row>
    <row r="91" spans="1:46">
      <c r="A91" t="str">
        <v>Industrial Battery</v>
      </c>
      <c r="B91" t="str">
        <v>Blue</v>
      </c>
      <c r="C91">
        <v>1000</v>
      </c>
      <c r="D91">
        <v>3</v>
      </c>
      <c r="E91" t="str">
        <v>Gear Bench (3)</v>
      </c>
      <c r="F91" t="str">
        <v>Unknown</v>
      </c>
      <c r="G91" t="str">
        <v>Chemicals (7x), Battery (2x)</v>
      </c>
      <c r="AT91" t="str">
        <v>Magnet</v>
      </c>
    </row>
    <row r="92" spans="1:46">
      <c r="A92" t="str">
        <v>Industrial Charger</v>
      </c>
      <c r="B92" t="str">
        <v>Blue</v>
      </c>
      <c r="C92">
        <v>1000</v>
      </c>
      <c r="D92">
        <v>0</v>
      </c>
      <c r="E92" t="str">
        <v>No known use</v>
      </c>
      <c r="F92" t="str">
        <v>Unknown</v>
      </c>
      <c r="G92" t="str">
        <v>Metal Parts (5x), Voltage Converter (1x)</v>
      </c>
      <c r="AT92" t="str">
        <v>Magnetic Accelerator</v>
      </c>
    </row>
    <row r="93" spans="1:46">
      <c r="A93" t="str">
        <v>Industrial Magnet</v>
      </c>
      <c r="B93" t="str">
        <v>Blue</v>
      </c>
      <c r="C93">
        <v>1000</v>
      </c>
      <c r="D93">
        <v>0</v>
      </c>
      <c r="E93" t="str">
        <v>No known use</v>
      </c>
      <c r="F93" t="str">
        <v>Industrial</v>
      </c>
      <c r="G93" t="str">
        <v>Magnet (2x), Metal Parts (4x)</v>
      </c>
      <c r="AT93" t="str">
        <v>Mechanical Components</v>
      </c>
    </row>
    <row r="94" spans="1:46">
      <c r="A94" t="str">
        <v>Laboratory Reagents</v>
      </c>
      <c r="B94" t="str">
        <v>Blue</v>
      </c>
      <c r="C94">
        <v>2000</v>
      </c>
      <c r="D94">
        <v>3</v>
      </c>
      <c r="E94" t="str">
        <v>Explosives Station (3)</v>
      </c>
      <c r="F94" t="str">
        <v>Unknown</v>
      </c>
      <c r="G94" t="str">
        <v>Chemicals (2x), Crude Explosives (2x)</v>
      </c>
      <c r="AT94" t="str">
        <v>Medium Gun Parts</v>
      </c>
    </row>
    <row r="95" spans="1:46">
      <c r="A95" t="str">
        <v>Lance's Mixtape (5th Edition)</v>
      </c>
      <c r="B95" t="str">
        <v>Pink</v>
      </c>
      <c r="C95">
        <v>10000</v>
      </c>
      <c r="D95">
        <v>0</v>
      </c>
      <c r="E95" t="str">
        <v>No known use</v>
      </c>
      <c r="F95" t="str">
        <v>Unknown</v>
      </c>
      <c r="G95" t="str">
        <v>Cannot be dismantled</v>
      </c>
      <c r="AT95" t="str">
        <v>Metal Brackets</v>
      </c>
    </row>
    <row r="96" spans="1:46">
      <c r="A96" t="str">
        <v>Leaper Pulse Unit</v>
      </c>
      <c r="B96" t="str">
        <v>Pink</v>
      </c>
      <c r="C96">
        <v>5000</v>
      </c>
      <c r="D96">
        <v>4</v>
      </c>
      <c r="E96" t="str">
        <v>Utility Station (4)</v>
      </c>
      <c r="F96" t="str">
        <v>Unknown</v>
      </c>
      <c r="G96" t="str">
        <v>Advanced Mechanical Components (2x), ARC Alloy (3x)</v>
      </c>
      <c r="AT96" t="str">
        <v>Metal Parts</v>
      </c>
    </row>
    <row r="97" spans="1:46">
      <c r="A97" t="str">
        <v>Lemon</v>
      </c>
      <c r="B97" t="str">
        <v>Gray</v>
      </c>
      <c r="C97">
        <v>640</v>
      </c>
      <c r="D97">
        <v>3</v>
      </c>
      <c r="E97" t="str">
        <v>Scrappy (3)</v>
      </c>
      <c r="F97" t="str">
        <v>Nature</v>
      </c>
      <c r="G97" t="str">
        <v>Assorted Seeds (3x)</v>
      </c>
      <c r="AT97" t="str">
        <v>Mod Components</v>
      </c>
    </row>
    <row r="98" spans="1:46">
      <c r="A98" t="str">
        <v>Light Bulb</v>
      </c>
      <c r="B98" t="str">
        <v>Green</v>
      </c>
      <c r="C98">
        <v>2000</v>
      </c>
      <c r="D98">
        <v>0</v>
      </c>
      <c r="E98" t="str">
        <v>No known use</v>
      </c>
      <c r="F98" t="str">
        <v>Unknown</v>
      </c>
      <c r="G98" t="str">
        <v>Cannot be dismantled</v>
      </c>
      <c r="AT98" t="str">
        <v>Moss</v>
      </c>
    </row>
    <row r="99" spans="1:46">
      <c r="A99" t="str">
        <v>Light Gun Parts</v>
      </c>
      <c r="B99" t="str">
        <v>Blue</v>
      </c>
      <c r="C99">
        <v>700</v>
      </c>
      <c r="D99">
        <v>0</v>
      </c>
      <c r="E99" t="str">
        <v>No known use</v>
      </c>
      <c r="F99" t="str">
        <v>Security, Raider</v>
      </c>
      <c r="G99" t="str">
        <v>Simple Gun Parts (2x)</v>
      </c>
      <c r="AT99" t="str">
        <v>Motor</v>
      </c>
    </row>
    <row r="100" spans="1:46">
      <c r="A100" t="str">
        <v>Magnet</v>
      </c>
      <c r="B100" t="str">
        <v>Green</v>
      </c>
      <c r="C100">
        <v>300</v>
      </c>
      <c r="D100">
        <v>10</v>
      </c>
      <c r="E100" t="str">
        <v>Combat Mk.2 (3), Looting Mk.2 (3), Tactical Mk.2 (3), Snap Blast Grenade (1)</v>
      </c>
      <c r="F100" t="str">
        <v>Exodus</v>
      </c>
      <c r="G100" t="str">
        <v>Metal Parts (3x)</v>
      </c>
      <c r="AT100" t="str">
        <v>Mushroom</v>
      </c>
    </row>
    <row r="101" spans="1:46">
      <c r="A101" t="str">
        <v>Magnetic Accelerator</v>
      </c>
      <c r="B101" t="str">
        <v>Pink</v>
      </c>
      <c r="C101">
        <v>5500</v>
      </c>
      <c r="D101">
        <v>0</v>
      </c>
      <c r="E101" t="str">
        <v>No known use</v>
      </c>
      <c r="F101" t="str">
        <v>Exodus</v>
      </c>
      <c r="G101" t="str">
        <v>Advanced Mechanical Components (1x), ARC Motion Core (1x)</v>
      </c>
      <c r="AT101" t="str">
        <v>Music Album</v>
      </c>
    </row>
    <row r="102" spans="1:46">
      <c r="A102" t="str">
        <v>Mechanical Components</v>
      </c>
      <c r="B102" t="str">
        <v>Blue</v>
      </c>
      <c r="C102">
        <v>2000</v>
      </c>
      <c r="D102">
        <v>18</v>
      </c>
      <c r="E102" t="str">
        <v>Gunsmith (5), Arpeggio I (6), Stable Stock II (2), Advanced Mechanical Components (2), Mod Components (2), Zipline (1)</v>
      </c>
      <c r="F102" t="str">
        <v>Mechanical</v>
      </c>
      <c r="G102" t="str">
        <v>Metal Parts (8x), Steel Spring (2x)</v>
      </c>
      <c r="AT102" t="str">
        <v>Music Box</v>
      </c>
    </row>
    <row r="103" spans="1:46">
      <c r="A103" t="str">
        <v>Medium Gun Parts</v>
      </c>
      <c r="B103" t="str">
        <v>Blue</v>
      </c>
      <c r="C103">
        <v>700</v>
      </c>
      <c r="D103">
        <v>3</v>
      </c>
      <c r="E103" t="str">
        <v>Renegade I (3)</v>
      </c>
      <c r="F103" t="str">
        <v>Security, Raider</v>
      </c>
      <c r="G103" t="str">
        <v>Simple Gun Parts (2x)</v>
      </c>
      <c r="AT103" t="str">
        <v>Number Plate</v>
      </c>
    </row>
    <row r="104" spans="1:46">
      <c r="A104" t="str">
        <v>Metal Brackets</v>
      </c>
      <c r="B104" t="str">
        <v>Green</v>
      </c>
      <c r="C104">
        <v>270</v>
      </c>
      <c r="D104">
        <v>0</v>
      </c>
      <c r="E104" t="str">
        <v>No known use</v>
      </c>
      <c r="F104" t="str">
        <v>Unknown</v>
      </c>
      <c r="G104" t="str">
        <v>Metal Parts (8x)</v>
      </c>
      <c r="AT104" t="str">
        <v>Oil</v>
      </c>
    </row>
    <row r="105" spans="1:46">
      <c r="A105" t="str">
        <v>Metal Parts</v>
      </c>
      <c r="B105" t="str">
        <v>Gray</v>
      </c>
      <c r="C105">
        <v>75</v>
      </c>
      <c r="D105">
        <v>157</v>
      </c>
      <c r="E105" t="str">
        <v>Gunsmith (20), Refiner (60), Ferro I (5), Hairpin I (2), Kettle I (6), Stitcher I (8), Heavy Ammo (3), Light Ammo (3), Medium Ammo (3), Shotgun Ammo (3), Rattler I (16), Compensator I (6), Muzzle Brake I (6), Shotgun Choke I (6), Mechanical Components (7), Door Blocker (3)</v>
      </c>
      <c r="F105" t="str">
        <v>Electrical, Industrial, Mechanical, Technological</v>
      </c>
      <c r="G105" t="str">
        <v>Cannot be dismantled</v>
      </c>
      <c r="AT105" t="str">
        <v>Olives</v>
      </c>
    </row>
    <row r="106" spans="1:46">
      <c r="A106" t="str">
        <v>Mod Components</v>
      </c>
      <c r="B106" t="str">
        <v>Pink</v>
      </c>
      <c r="C106">
        <v>3000</v>
      </c>
      <c r="D106">
        <v>0</v>
      </c>
      <c r="E106" t="str">
        <v>No known use</v>
      </c>
      <c r="F106" t="str">
        <v>Unknown</v>
      </c>
      <c r="G106" t="str">
        <v>Steel Spring (4x), ARC Alloy (3x)</v>
      </c>
      <c r="AT106" t="str">
        <v>Painted Box</v>
      </c>
    </row>
    <row r="107" spans="1:46">
      <c r="A107" t="str">
        <v>Moss</v>
      </c>
      <c r="B107" t="str">
        <v>Blue</v>
      </c>
      <c r="C107">
        <v>500</v>
      </c>
      <c r="D107">
        <v>0</v>
      </c>
      <c r="E107" t="str">
        <v>No known use</v>
      </c>
      <c r="F107" t="str">
        <v>Unknown</v>
      </c>
      <c r="G107" t="str">
        <v>Chemicals (5x)</v>
      </c>
      <c r="AT107" t="str">
        <v>Plastic Parts</v>
      </c>
    </row>
    <row r="108" spans="1:46">
      <c r="A108" t="str">
        <v>Motor</v>
      </c>
      <c r="B108" t="str">
        <v>Blue</v>
      </c>
      <c r="C108">
        <v>1000</v>
      </c>
      <c r="D108">
        <v>3</v>
      </c>
      <c r="E108" t="str">
        <v>Refiner (3)</v>
      </c>
      <c r="F108" t="str">
        <v>Unknown</v>
      </c>
      <c r="G108" t="str">
        <v>Oil (2x), Mechanical Components (2x)</v>
      </c>
      <c r="AT108" t="str">
        <v>Playing Cards</v>
      </c>
    </row>
    <row r="109" spans="1:46">
      <c r="A109" t="str">
        <v>Mushroom</v>
      </c>
      <c r="B109" t="str">
        <v>Green</v>
      </c>
      <c r="C109">
        <v>1000</v>
      </c>
      <c r="D109">
        <v>12</v>
      </c>
      <c r="E109" t="str">
        <v>Scrappy (12)</v>
      </c>
      <c r="F109" t="str">
        <v>Nature</v>
      </c>
      <c r="G109" t="str">
        <v>Cannot be dismantled</v>
      </c>
      <c r="AT109" t="str">
        <v>Polluted Air Filter</v>
      </c>
    </row>
    <row r="110" spans="1:46">
      <c r="A110" t="str">
        <v>Music Album</v>
      </c>
      <c r="B110" t="str">
        <v>Blue</v>
      </c>
      <c r="C110">
        <v>3000</v>
      </c>
      <c r="D110">
        <v>0</v>
      </c>
      <c r="E110" t="str">
        <v>No known use</v>
      </c>
      <c r="F110" t="str">
        <v>Unknown</v>
      </c>
      <c r="G110" t="str">
        <v>Cannot be dismantled</v>
      </c>
      <c r="AT110" t="str">
        <v>Pop Trigger</v>
      </c>
    </row>
    <row r="111" spans="1:46">
      <c r="A111" t="str">
        <v>Music Box</v>
      </c>
      <c r="B111" t="str">
        <v>Blue</v>
      </c>
      <c r="C111">
        <v>5000</v>
      </c>
      <c r="D111">
        <v>0</v>
      </c>
      <c r="E111" t="str">
        <v>No known use</v>
      </c>
      <c r="F111" t="str">
        <v>Unknown</v>
      </c>
      <c r="G111" t="str">
        <v>Cannot be dismantled</v>
      </c>
      <c r="AT111" t="str">
        <v>Portable TV</v>
      </c>
    </row>
    <row r="112" spans="1:46">
      <c r="A112" t="str">
        <v>Number Plate</v>
      </c>
      <c r="B112" t="str">
        <v>Green</v>
      </c>
      <c r="C112">
        <v>80</v>
      </c>
      <c r="D112">
        <v>0</v>
      </c>
      <c r="E112" t="str">
        <v>No known use</v>
      </c>
      <c r="F112" t="str">
        <v>Unknown</v>
      </c>
      <c r="G112" t="str">
        <v>Metal Parts (3x)</v>
      </c>
      <c r="AT112" t="str">
        <v>Poster of Natural Wonders</v>
      </c>
    </row>
    <row r="113" spans="1:46">
      <c r="A113" t="str">
        <v>Oil</v>
      </c>
      <c r="B113" t="str">
        <v>Green</v>
      </c>
      <c r="C113">
        <v>300</v>
      </c>
      <c r="D113">
        <v>7</v>
      </c>
      <c r="E113" t="str">
        <v>Renegade I (5), Explosive Compound (2)</v>
      </c>
      <c r="F113" t="str">
        <v>Mechanical</v>
      </c>
      <c r="G113" t="str">
        <v>Chemicals (3x)</v>
      </c>
      <c r="AT113" t="str">
        <v>Pottery</v>
      </c>
    </row>
    <row r="114" spans="1:46">
      <c r="A114" t="str">
        <v>Olives</v>
      </c>
      <c r="B114" t="str">
        <v>Gray</v>
      </c>
      <c r="C114">
        <v>640</v>
      </c>
      <c r="D114">
        <v>6</v>
      </c>
      <c r="E114" t="str">
        <v>Scrappy (6)</v>
      </c>
      <c r="F114" t="str">
        <v>Unknown</v>
      </c>
      <c r="G114" t="str">
        <v>Assorted Seeds (2x)</v>
      </c>
      <c r="AT114" t="str">
        <v>Power Bank</v>
      </c>
    </row>
    <row r="115" spans="1:46">
      <c r="A115" t="str">
        <v>Painted Box</v>
      </c>
      <c r="B115" t="str">
        <v>Gray</v>
      </c>
      <c r="C115">
        <v>2000</v>
      </c>
      <c r="D115">
        <v>0</v>
      </c>
      <c r="E115" t="str">
        <v>No known use</v>
      </c>
      <c r="F115" t="str">
        <v>Unknown</v>
      </c>
      <c r="G115" t="str">
        <v>Cannot be dismantled</v>
      </c>
      <c r="AT115" t="str">
        <v>Power Cable</v>
      </c>
    </row>
    <row r="116" spans="1:46">
      <c r="A116" t="str">
        <v>Plastic Parts</v>
      </c>
      <c r="B116" t="str">
        <v>Gray</v>
      </c>
      <c r="C116">
        <v>60</v>
      </c>
      <c r="D116">
        <v>156</v>
      </c>
      <c r="E116" t="str">
        <v>Gear Bench (25), Utility Station (50), Looting Mk.1 (6), Light Shield (4), Hairpin I (5), Light Impact Grenade (2), Angled Grip I (6), Extended Light Mag I (6), Extended Medium Mag I (6), Extended Shotgun Mag I (6), Vertical Grip I (6), Combat Mk.1 (6), Tactical Mk.1 (6), Electrical Components (8), Light Impact Grenade (2), Adrenaline Shot (3), Binoculars (8), Li'l Smoke Grenade (1)</v>
      </c>
      <c r="F116" t="str">
        <v>Commercial, Residential, Technological</v>
      </c>
      <c r="G116" t="str">
        <v>Cannot be dismantled</v>
      </c>
      <c r="AT116" t="str">
        <v>Power Rod</v>
      </c>
    </row>
    <row r="117" spans="1:46">
      <c r="A117" t="str">
        <v>Playing Cards</v>
      </c>
      <c r="B117" t="str">
        <v>Blue</v>
      </c>
      <c r="C117">
        <v>5000</v>
      </c>
      <c r="D117">
        <v>0</v>
      </c>
      <c r="E117" t="str">
        <v>No known use</v>
      </c>
      <c r="F117" t="str">
        <v>Unknown</v>
      </c>
      <c r="G117" t="str">
        <v>Cannot be dismantled</v>
      </c>
      <c r="AT117" t="str">
        <v>Prickly Pear</v>
      </c>
    </row>
    <row r="118" spans="1:46">
      <c r="A118" t="str">
        <v>Polluted Air Filter</v>
      </c>
      <c r="B118" t="str">
        <v>Blue</v>
      </c>
      <c r="C118">
        <v>1000</v>
      </c>
      <c r="D118">
        <v>0</v>
      </c>
      <c r="E118" t="str">
        <v>No known use</v>
      </c>
      <c r="F118" t="str">
        <v>Unknown</v>
      </c>
      <c r="G118" t="str">
        <v>Fabric (6x), Oil (2x)</v>
      </c>
      <c r="AT118" t="str">
        <v>Processor</v>
      </c>
    </row>
    <row r="119" spans="1:46">
      <c r="A119" t="str">
        <v>Pop Trigger</v>
      </c>
      <c r="B119" t="str">
        <v>Gray</v>
      </c>
      <c r="C119">
        <v>640</v>
      </c>
      <c r="D119">
        <v>5</v>
      </c>
      <c r="E119" t="str">
        <v>Explosives Station (5)</v>
      </c>
      <c r="F119" t="str">
        <v>ARC</v>
      </c>
      <c r="G119" t="str">
        <v>Crude Explosives (1x), ARC Alloy (1x)</v>
      </c>
      <c r="AT119" t="str">
        <v>Projector</v>
      </c>
    </row>
    <row r="120" spans="1:46">
      <c r="A120" t="str">
        <v>Portable TV</v>
      </c>
      <c r="B120" t="str">
        <v>Blue</v>
      </c>
      <c r="C120">
        <v>1000</v>
      </c>
      <c r="D120">
        <v>0</v>
      </c>
      <c r="E120" t="str">
        <v>No known use</v>
      </c>
      <c r="F120" t="str">
        <v>Unknown</v>
      </c>
      <c r="G120" t="str">
        <v>Battery (2x), Wires (6x)</v>
      </c>
      <c r="AT120" t="str">
        <v>Queen Reactor</v>
      </c>
    </row>
    <row r="121" spans="1:46">
      <c r="A121" t="str">
        <v>Poster of Natural Wonders</v>
      </c>
      <c r="B121" t="str">
        <v>Green</v>
      </c>
      <c r="C121">
        <v>2000</v>
      </c>
      <c r="D121">
        <v>0</v>
      </c>
      <c r="E121" t="str">
        <v>No known use</v>
      </c>
      <c r="F121" t="str">
        <v>Unknown</v>
      </c>
      <c r="G121" t="str">
        <v>Cannot be dismantled</v>
      </c>
      <c r="AT121" t="str">
        <v>Radio</v>
      </c>
    </row>
    <row r="122" spans="1:46">
      <c r="A122" t="str">
        <v>Pottery</v>
      </c>
      <c r="B122" t="str">
        <v>Green</v>
      </c>
      <c r="C122">
        <v>2000</v>
      </c>
      <c r="D122">
        <v>0</v>
      </c>
      <c r="E122" t="str">
        <v>No known use</v>
      </c>
      <c r="F122" t="str">
        <v>Unknown</v>
      </c>
      <c r="G122" t="str">
        <v>Cannot be dismantled</v>
      </c>
      <c r="AT122" t="str">
        <v>Red Coral Jewelry</v>
      </c>
    </row>
    <row r="123" spans="1:46">
      <c r="A123" t="str">
        <v>Power Bank</v>
      </c>
      <c r="B123" t="str">
        <v>Blue</v>
      </c>
      <c r="C123">
        <v>1000</v>
      </c>
      <c r="D123">
        <v>0</v>
      </c>
      <c r="E123" t="str">
        <v>No known use</v>
      </c>
      <c r="F123" t="str">
        <v>Unknown</v>
      </c>
      <c r="G123" t="str">
        <v>Battery (4x), Wires (2x)</v>
      </c>
      <c r="AT123" t="str">
        <v>Remote Control</v>
      </c>
    </row>
    <row r="124" spans="1:46">
      <c r="A124" t="str">
        <v>Power Cable</v>
      </c>
      <c r="B124" t="str">
        <v>Blue</v>
      </c>
      <c r="C124">
        <v>1000</v>
      </c>
      <c r="D124">
        <v>3</v>
      </c>
      <c r="E124" t="str">
        <v>Gear Bench (3)</v>
      </c>
      <c r="F124" t="str">
        <v>Commercial, Electrical, Residential</v>
      </c>
      <c r="G124" t="str">
        <v>Wires (4x)</v>
      </c>
      <c r="AT124" t="str">
        <v>Resin</v>
      </c>
    </row>
    <row r="125" spans="1:46">
      <c r="A125" t="str">
        <v>Power Rod</v>
      </c>
      <c r="B125" t="str">
        <v>Pink</v>
      </c>
      <c r="C125">
        <v>5500</v>
      </c>
      <c r="D125">
        <v>1</v>
      </c>
      <c r="E125" t="str">
        <v>Heavy Shield (1)</v>
      </c>
      <c r="F125" t="str">
        <v>Exodus</v>
      </c>
      <c r="G125" t="str">
        <v>Advanced Electrical Components (1x), ARC Circuitry (1x)</v>
      </c>
      <c r="AT125" t="str">
        <v>Ripped Safety Vest</v>
      </c>
    </row>
    <row r="126" spans="1:46">
      <c r="A126" t="str">
        <v>Prickly Pear</v>
      </c>
      <c r="B126" t="str">
        <v>Gray</v>
      </c>
      <c r="C126">
        <v>640</v>
      </c>
      <c r="D126">
        <v>6</v>
      </c>
      <c r="E126" t="str">
        <v>Scrappy (6)</v>
      </c>
      <c r="F126" t="str">
        <v>Unknown</v>
      </c>
      <c r="G126" t="str">
        <v>Assorted Seeds (3x)</v>
      </c>
      <c r="AT126" t="str">
        <v>Rocket Thruster</v>
      </c>
    </row>
    <row r="127" spans="1:46">
      <c r="A127" t="str">
        <v>Processor</v>
      </c>
      <c r="B127" t="str">
        <v>Blue</v>
      </c>
      <c r="C127">
        <v>500</v>
      </c>
      <c r="D127">
        <v>3</v>
      </c>
      <c r="E127" t="str">
        <v>Looting Mk.3 (Cautious) (3)</v>
      </c>
      <c r="F127" t="str">
        <v>Technological</v>
      </c>
      <c r="G127" t="str">
        <v>Wires (1x), Plastic Parts (1x)</v>
      </c>
      <c r="AT127" t="str">
        <v>Rocketeer Driver</v>
      </c>
    </row>
    <row r="128" spans="1:46">
      <c r="A128" t="str">
        <v>Projector</v>
      </c>
      <c r="B128" t="str">
        <v>Blue</v>
      </c>
      <c r="C128">
        <v>640</v>
      </c>
      <c r="D128">
        <v>0</v>
      </c>
      <c r="E128" t="str">
        <v>No known use</v>
      </c>
      <c r="F128" t="str">
        <v>Unknown</v>
      </c>
      <c r="G128" t="str">
        <v>Processor (1x), Wires (2x)</v>
      </c>
      <c r="AT128" t="str">
        <v>Roots</v>
      </c>
    </row>
    <row r="129" spans="1:46">
      <c r="A129" t="str">
        <v>Queen Reactor</v>
      </c>
      <c r="B129" t="str">
        <v>Yellow</v>
      </c>
      <c r="C129">
        <v>13000</v>
      </c>
      <c r="D129">
        <v>0</v>
      </c>
      <c r="E129" t="str">
        <v>No known use</v>
      </c>
      <c r="F129" t="str">
        <v>Unknown</v>
      </c>
      <c r="G129" t="str">
        <v>Power Rod (1x), Magnetic Accelerator (1x)</v>
      </c>
      <c r="AT129" t="str">
        <v>Rope</v>
      </c>
    </row>
    <row r="130" spans="1:46">
      <c r="A130" t="str">
        <v>Radio</v>
      </c>
      <c r="B130" t="str">
        <v>Blue</v>
      </c>
      <c r="C130">
        <v>1000</v>
      </c>
      <c r="D130">
        <v>0</v>
      </c>
      <c r="E130" t="str">
        <v>No known use</v>
      </c>
      <c r="F130" t="str">
        <v>Unknown</v>
      </c>
      <c r="G130" t="str">
        <v>Speaker Component (1x), Sensors (2x)</v>
      </c>
      <c r="AT130" t="str">
        <v>Rosary</v>
      </c>
    </row>
    <row r="131" spans="1:46">
      <c r="A131" t="str">
        <v>Red Coral Jewelry</v>
      </c>
      <c r="B131" t="str">
        <v>Blue</v>
      </c>
      <c r="C131">
        <v>5000</v>
      </c>
      <c r="D131">
        <v>0</v>
      </c>
      <c r="E131" t="str">
        <v>No known use</v>
      </c>
      <c r="F131" t="str">
        <v>Unknown</v>
      </c>
      <c r="G131" t="str">
        <v>Cannot be dismantled</v>
      </c>
      <c r="AT131" t="str">
        <v>Rubber Duck</v>
      </c>
    </row>
    <row r="132" spans="1:46">
      <c r="A132" t="str">
        <v>Remote Control</v>
      </c>
      <c r="B132" t="str">
        <v>Green</v>
      </c>
      <c r="C132">
        <v>1000</v>
      </c>
      <c r="D132">
        <v>0</v>
      </c>
      <c r="E132" t="str">
        <v>No known use</v>
      </c>
      <c r="F132" t="str">
        <v>Unknown</v>
      </c>
      <c r="G132" t="str">
        <v>Plastic Parts (2x), Sensors (1x)</v>
      </c>
      <c r="AT132" t="str">
        <v>Rubber Pad</v>
      </c>
    </row>
    <row r="133" spans="1:46">
      <c r="A133" t="str">
        <v>Resin</v>
      </c>
      <c r="B133" t="str">
        <v>Gray</v>
      </c>
      <c r="C133">
        <v>1000</v>
      </c>
      <c r="D133">
        <v>0</v>
      </c>
      <c r="E133" t="str">
        <v>No known use</v>
      </c>
      <c r="F133" t="str">
        <v>Unknown</v>
      </c>
      <c r="G133" t="str">
        <v>Cannot be dismantled</v>
      </c>
      <c r="AT133" t="str">
        <v>Rubber Parts</v>
      </c>
    </row>
    <row r="134" spans="1:46">
      <c r="A134" t="str">
        <v>Ripped Safety Vest</v>
      </c>
      <c r="B134" t="str">
        <v>Green</v>
      </c>
      <c r="C134">
        <v>1000</v>
      </c>
      <c r="D134">
        <v>0</v>
      </c>
      <c r="E134" t="str">
        <v>No known use</v>
      </c>
      <c r="F134" t="str">
        <v>Unknown</v>
      </c>
      <c r="G134" t="str">
        <v>Magnet (1x), Durable Cloth (1x)</v>
      </c>
      <c r="AT134" t="str">
        <v>Ruined Accordion</v>
      </c>
    </row>
    <row r="135" spans="1:46">
      <c r="A135" t="str">
        <v>Rocket Thruster</v>
      </c>
      <c r="B135" t="str">
        <v>Blue</v>
      </c>
      <c r="C135">
        <v>2000</v>
      </c>
      <c r="D135">
        <v>0</v>
      </c>
      <c r="E135" t="str">
        <v>No known use</v>
      </c>
      <c r="F135" t="str">
        <v>Unknown</v>
      </c>
      <c r="G135" t="str">
        <v>Synthesized Fuel (2x), Metal Parts (6x)</v>
      </c>
      <c r="AT135" t="str">
        <v>Ruined Augment</v>
      </c>
    </row>
    <row r="136" spans="1:46">
      <c r="A136" t="str">
        <v>Rocketeer Driver</v>
      </c>
      <c r="B136" t="str">
        <v>Pink</v>
      </c>
      <c r="C136">
        <v>5000</v>
      </c>
      <c r="D136">
        <v>3</v>
      </c>
      <c r="E136" t="str">
        <v>Explosives Station (3)</v>
      </c>
      <c r="F136" t="str">
        <v>Unknown</v>
      </c>
      <c r="G136" t="str">
        <v>Advanced Electrical Components (2x), ARC Alloy (3x)</v>
      </c>
      <c r="AT136" t="str">
        <v>Ruined Baton</v>
      </c>
    </row>
    <row r="137" spans="1:46">
      <c r="A137" t="str">
        <v>Roots</v>
      </c>
      <c r="B137" t="str">
        <v>Green</v>
      </c>
      <c r="C137">
        <v>640</v>
      </c>
      <c r="D137">
        <v>0</v>
      </c>
      <c r="E137" t="str">
        <v>No known use</v>
      </c>
      <c r="F137" t="str">
        <v>Unknown</v>
      </c>
      <c r="G137" t="str">
        <v>Assorted Seeds (1x)</v>
      </c>
      <c r="AT137" t="str">
        <v>Ruined Handcuffs</v>
      </c>
    </row>
    <row r="138" spans="1:46">
      <c r="A138" t="str">
        <v>Rope</v>
      </c>
      <c r="B138" t="str">
        <v>Blue</v>
      </c>
      <c r="C138">
        <v>500</v>
      </c>
      <c r="D138">
        <v>1</v>
      </c>
      <c r="E138" t="str">
        <v>Zipline (1)</v>
      </c>
      <c r="F138" t="str">
        <v>Commercial, Residential</v>
      </c>
      <c r="G138" t="str">
        <v>Fabric (5x)</v>
      </c>
      <c r="AT138" t="str">
        <v>Ruined Parachute</v>
      </c>
    </row>
    <row r="139" spans="1:46">
      <c r="A139" t="str">
        <v>Rosary</v>
      </c>
      <c r="B139" t="str">
        <v>Gray</v>
      </c>
      <c r="C139">
        <v>2000</v>
      </c>
      <c r="D139">
        <v>0</v>
      </c>
      <c r="E139" t="str">
        <v>No known use</v>
      </c>
      <c r="F139" t="str">
        <v>Unknown</v>
      </c>
      <c r="G139" t="str">
        <v>Cannot be dismantled</v>
      </c>
      <c r="AT139" t="str">
        <v>Ruined Riot Shield</v>
      </c>
    </row>
    <row r="140" spans="1:46">
      <c r="A140" t="str">
        <v>Rubber Duck</v>
      </c>
      <c r="B140" t="str">
        <v>Gray</v>
      </c>
      <c r="C140">
        <v>1000</v>
      </c>
      <c r="D140">
        <v>0</v>
      </c>
      <c r="E140" t="str">
        <v>No known use</v>
      </c>
      <c r="F140" t="str">
        <v>Unknown</v>
      </c>
      <c r="G140" t="str">
        <v>Cannot be dismantled</v>
      </c>
      <c r="AT140" t="str">
        <v>Ruined Tactical Vest</v>
      </c>
    </row>
    <row r="141" spans="1:46">
      <c r="A141" t="str">
        <v>Rubber Pad</v>
      </c>
      <c r="B141" t="str">
        <v>Blue</v>
      </c>
      <c r="C141">
        <v>1000</v>
      </c>
      <c r="D141">
        <v>0</v>
      </c>
      <c r="E141" t="str">
        <v>No known use</v>
      </c>
      <c r="F141" t="str">
        <v>Unknown</v>
      </c>
      <c r="G141" t="str">
        <v>Rubber Parts (22x)</v>
      </c>
      <c r="AT141" t="str">
        <v>Rusted Bolts</v>
      </c>
    </row>
    <row r="142" spans="1:46">
      <c r="A142" t="str">
        <v>Rubber Parts</v>
      </c>
      <c r="B142" t="str">
        <v>Gray</v>
      </c>
      <c r="C142">
        <v>50</v>
      </c>
      <c r="D142">
        <v>102</v>
      </c>
      <c r="E142" t="str">
        <v>Gunsmith (30), Looting Mk.1 (6), Ferro I (2), Kettle I (8), Stitcher I (4), Shield Recharger (5), Rattler I (12), Stable Stock I (7), Combat Mk.1 (6), Tactical Mk.1 (6), Electrical Components (4), Mechanical Components (3), Gas Grenade (2), Binoculars (4), Door Blocker (3)</v>
      </c>
      <c r="F142" t="str">
        <v>Electrical, Industrial, Mechanical</v>
      </c>
      <c r="G142" t="str">
        <v>Cannot be dismantled</v>
      </c>
      <c r="AT142" t="str">
        <v>Rusted Gear</v>
      </c>
    </row>
    <row r="143" spans="1:46">
      <c r="A143" t="str">
        <v>Ruined Accordion</v>
      </c>
      <c r="B143" t="str">
        <v>Blue</v>
      </c>
      <c r="C143">
        <v>2000</v>
      </c>
      <c r="D143">
        <v>0</v>
      </c>
      <c r="E143" t="str">
        <v>No known use</v>
      </c>
      <c r="F143" t="str">
        <v>Unknown</v>
      </c>
      <c r="G143" t="str">
        <v>Rubber Parts (18x), Steel Spring (3x)</v>
      </c>
      <c r="AT143" t="str">
        <v>Rusted Shut Medical Kit</v>
      </c>
    </row>
    <row r="144" spans="1:46">
      <c r="A144" t="str">
        <v>Ruined Augment</v>
      </c>
      <c r="B144" t="str">
        <v>NA</v>
      </c>
      <c r="C144">
        <v>270</v>
      </c>
      <c r="D144">
        <v>0</v>
      </c>
      <c r="E144" t="str">
        <v>No known use</v>
      </c>
      <c r="F144" t="str">
        <v>Unknown</v>
      </c>
      <c r="G144" t="str">
        <v>Plastic Parts (2x), Rubber Parts (2x)</v>
      </c>
      <c r="AT144" t="str">
        <v>Rusted Tools</v>
      </c>
    </row>
    <row r="145" spans="1:46">
      <c r="A145" t="str">
        <v>Ruined Baton</v>
      </c>
      <c r="B145" t="str">
        <v>Green</v>
      </c>
      <c r="C145">
        <v>640</v>
      </c>
      <c r="D145">
        <v>0</v>
      </c>
      <c r="E145" t="str">
        <v>No known use</v>
      </c>
      <c r="F145" t="str">
        <v>Unknown</v>
      </c>
      <c r="G145" t="str">
        <v>Metal Parts (6x), Rubber Parts (3x)</v>
      </c>
      <c r="AT145" t="str">
        <v>Rusty ARC Steel</v>
      </c>
    </row>
    <row r="146" spans="1:46">
      <c r="A146" t="str">
        <v>Ruined Handcuffs</v>
      </c>
      <c r="B146" t="str">
        <v>Green</v>
      </c>
      <c r="C146">
        <v>270</v>
      </c>
      <c r="D146">
        <v>0</v>
      </c>
      <c r="E146" t="str">
        <v>No known use</v>
      </c>
      <c r="F146" t="str">
        <v>Unknown</v>
      </c>
      <c r="G146" t="str">
        <v>Cannot be dismantled</v>
      </c>
      <c r="AT146" t="str">
        <v>Sensors</v>
      </c>
    </row>
    <row r="147" spans="1:46">
      <c r="A147" t="str">
        <v>Ruined Parachute</v>
      </c>
      <c r="B147" t="str">
        <v>Green</v>
      </c>
      <c r="C147">
        <v>640</v>
      </c>
      <c r="D147">
        <v>0</v>
      </c>
      <c r="E147" t="str">
        <v>No known use</v>
      </c>
      <c r="F147" t="str">
        <v>Unknown</v>
      </c>
      <c r="G147" t="str">
        <v>Fabric (10x)</v>
      </c>
      <c r="AT147" t="str">
        <v>Sentinel Firing Core</v>
      </c>
    </row>
    <row r="148" spans="1:46">
      <c r="A148" t="str">
        <v>Ruined Riot Shield</v>
      </c>
      <c r="B148" t="str">
        <v>Blue</v>
      </c>
      <c r="C148">
        <v>2000</v>
      </c>
      <c r="D148">
        <v>0</v>
      </c>
      <c r="E148" t="str">
        <v>No known use</v>
      </c>
      <c r="F148" t="str">
        <v>Unknown</v>
      </c>
      <c r="G148" t="str">
        <v>Plastic Parts (10x), Rubber Parts (6x)</v>
      </c>
      <c r="AT148" t="str">
        <v>Silver Teaspoon Set</v>
      </c>
    </row>
    <row r="149" spans="1:46">
      <c r="A149" t="str">
        <v>Ruined Tactical Vest</v>
      </c>
      <c r="B149" t="str">
        <v>Green</v>
      </c>
      <c r="C149">
        <v>640</v>
      </c>
      <c r="D149">
        <v>0</v>
      </c>
      <c r="E149" t="str">
        <v>No known use</v>
      </c>
      <c r="F149" t="str">
        <v>Unknown</v>
      </c>
      <c r="G149" t="str">
        <v>Fabric (5x), Magnet (1x)</v>
      </c>
      <c r="AT149" t="str">
        <v>Simple Gun Parts</v>
      </c>
    </row>
    <row r="150" spans="1:46">
      <c r="A150" t="str">
        <v>Rusted Bolts</v>
      </c>
      <c r="B150" t="str">
        <v>Green</v>
      </c>
      <c r="C150">
        <v>640</v>
      </c>
      <c r="D150">
        <v>0</v>
      </c>
      <c r="E150" t="str">
        <v>No known use</v>
      </c>
      <c r="F150" t="str">
        <v>Unknown</v>
      </c>
      <c r="G150" t="str">
        <v>Metal Parts (8x)</v>
      </c>
      <c r="AT150" t="str">
        <v>Snitch Scanner</v>
      </c>
    </row>
    <row r="151" spans="1:46">
      <c r="A151" t="str">
        <v>Rusted Gear</v>
      </c>
      <c r="B151" t="str">
        <v>Blue</v>
      </c>
      <c r="C151">
        <v>2000</v>
      </c>
      <c r="D151">
        <v>3</v>
      </c>
      <c r="E151" t="str">
        <v>Gunsmith (3)</v>
      </c>
      <c r="F151" t="str">
        <v>Industrial</v>
      </c>
      <c r="G151" t="str">
        <v>Metal Parts (4x), Mechanical Components (2x)</v>
      </c>
      <c r="AT151" t="str">
        <v>Speaker Component</v>
      </c>
    </row>
    <row r="152" spans="1:46">
      <c r="A152" t="str">
        <v>Rusted Shut Medical Kit</v>
      </c>
      <c r="B152" t="str">
        <v>Blue</v>
      </c>
      <c r="C152">
        <v>1000</v>
      </c>
      <c r="D152">
        <v>3</v>
      </c>
      <c r="E152" t="str">
        <v>Medical Lab (3)</v>
      </c>
      <c r="F152" t="str">
        <v>Unknown</v>
      </c>
      <c r="G152" t="str">
        <v>Syringe (2x), Antiseptic (1x)</v>
      </c>
      <c r="AT152" t="str">
        <v>Spotter Relay</v>
      </c>
    </row>
    <row r="153" spans="1:46">
      <c r="A153" t="str">
        <v>Rusted Tools</v>
      </c>
      <c r="B153" t="str">
        <v>Blue</v>
      </c>
      <c r="C153">
        <v>1000</v>
      </c>
      <c r="D153">
        <v>3</v>
      </c>
      <c r="E153" t="str">
        <v>Gunsmith (3)</v>
      </c>
      <c r="F153" t="str">
        <v>Industrial, Mechanical</v>
      </c>
      <c r="G153" t="str">
        <v>Metal Parts (8x), Steel Spring (1x)</v>
      </c>
      <c r="AT153" t="str">
        <v>Spring Cushion</v>
      </c>
    </row>
    <row r="154" spans="1:46">
      <c r="A154" t="str">
        <v>Rusty ARC Steel</v>
      </c>
      <c r="B154" t="str">
        <v>Green</v>
      </c>
      <c r="C154">
        <v>640</v>
      </c>
      <c r="D154">
        <v>0</v>
      </c>
      <c r="E154" t="str">
        <v>No known use</v>
      </c>
      <c r="F154" t="str">
        <v>Unknown</v>
      </c>
      <c r="G154" t="str">
        <v>Metal Parts (8x)</v>
      </c>
      <c r="AT154" t="str">
        <v>Statuette</v>
      </c>
    </row>
    <row r="155" spans="1:46">
      <c r="A155" t="str">
        <v>Sensors</v>
      </c>
      <c r="B155" t="str">
        <v>Blue</v>
      </c>
      <c r="C155">
        <v>500</v>
      </c>
      <c r="D155">
        <v>3</v>
      </c>
      <c r="E155" t="str">
        <v>Raider Hatch Key (3)</v>
      </c>
      <c r="F155" t="str">
        <v>Security, Technological</v>
      </c>
      <c r="G155" t="str">
        <v>Wires (2x), Metal Parts (2x)</v>
      </c>
      <c r="AT155" t="str">
        <v>Steel Spring</v>
      </c>
    </row>
    <row r="156" spans="1:46">
      <c r="A156" t="str">
        <v>Sentinel Firing Core</v>
      </c>
      <c r="B156" t="str">
        <v>Blue</v>
      </c>
      <c r="C156">
        <v>3000</v>
      </c>
      <c r="D156">
        <v>4</v>
      </c>
      <c r="E156" t="str">
        <v>Gunsmith (4)</v>
      </c>
      <c r="F156" t="str">
        <v>Unknown</v>
      </c>
      <c r="G156" t="str">
        <v>ARC Alloy (2x), Mechanical Components (3x)</v>
      </c>
      <c r="AT156" t="str">
        <v>Surveyor Vault</v>
      </c>
    </row>
    <row r="157" spans="1:46">
      <c r="A157" t="str">
        <v>Silver Teaspoon Set</v>
      </c>
      <c r="B157" t="str">
        <v>Gray</v>
      </c>
      <c r="C157">
        <v>3000</v>
      </c>
      <c r="D157">
        <v>0</v>
      </c>
      <c r="E157" t="str">
        <v>No known use</v>
      </c>
      <c r="F157" t="str">
        <v>Unknown</v>
      </c>
      <c r="G157" t="str">
        <v>Cannot be dismantled</v>
      </c>
      <c r="AT157" t="str">
        <v>Synthesized Fuel</v>
      </c>
    </row>
    <row r="158" spans="1:46">
      <c r="A158" t="str">
        <v>Simple Gun Parts</v>
      </c>
      <c r="B158" t="str">
        <v>Green</v>
      </c>
      <c r="C158">
        <v>330</v>
      </c>
      <c r="D158">
        <v>6</v>
      </c>
      <c r="E158" t="str">
        <v>Arpeggio I (6)</v>
      </c>
      <c r="F158" t="str">
        <v>Security, Raider</v>
      </c>
      <c r="G158" t="str">
        <v>Metal Parts (2x)</v>
      </c>
      <c r="AT158" t="str">
        <v>Syringe</v>
      </c>
    </row>
    <row r="159" spans="1:46">
      <c r="A159" t="str">
        <v>Snitch Scanner</v>
      </c>
      <c r="B159" t="str">
        <v>Green</v>
      </c>
      <c r="C159">
        <v>2000</v>
      </c>
      <c r="D159">
        <v>6</v>
      </c>
      <c r="E159" t="str">
        <v>Utility Station (6)</v>
      </c>
      <c r="F159" t="str">
        <v>ARC</v>
      </c>
      <c r="G159" t="str">
        <v>ARC Alloy (4x), Electrical Components (2x)</v>
      </c>
      <c r="AT159" t="str">
        <v>Tattered ARC Lining</v>
      </c>
    </row>
    <row r="160" spans="1:46">
      <c r="A160" t="str">
        <v>Speaker Component</v>
      </c>
      <c r="B160" t="str">
        <v>Blue</v>
      </c>
      <c r="C160">
        <v>500</v>
      </c>
      <c r="D160">
        <v>5</v>
      </c>
      <c r="E160" t="str">
        <v>Photoelectric Cloak (4), Lure Grenade (1)</v>
      </c>
      <c r="F160" t="str">
        <v>Commercial</v>
      </c>
      <c r="G160" t="str">
        <v>Plastic Parts (2x), Rubber Parts (2x)</v>
      </c>
      <c r="AT160" t="str">
        <v>Tattered Clothes</v>
      </c>
    </row>
    <row r="161" spans="1:46">
      <c r="A161" t="str">
        <v>Spotter Relay</v>
      </c>
      <c r="B161" t="str">
        <v>Green</v>
      </c>
      <c r="C161">
        <v>5000</v>
      </c>
      <c r="D161">
        <v>0</v>
      </c>
      <c r="E161" t="str">
        <v>No known use</v>
      </c>
      <c r="F161" t="str">
        <v>Unknown</v>
      </c>
      <c r="G161" t="str">
        <v>Electrical Components (2x), ARC Alloy (1x)</v>
      </c>
      <c r="AT161" t="str">
        <v>Thermostat</v>
      </c>
    </row>
    <row r="162" spans="1:46">
      <c r="A162" t="str">
        <v>Spring Cushion</v>
      </c>
      <c r="B162" t="str">
        <v>Blue</v>
      </c>
      <c r="C162">
        <v>1000</v>
      </c>
      <c r="D162">
        <v>0</v>
      </c>
      <c r="E162" t="str">
        <v>No known use</v>
      </c>
      <c r="F162" t="str">
        <v>Unknown</v>
      </c>
      <c r="G162" t="str">
        <v>Durable Cloth (2x), Steel Spring (2x)</v>
      </c>
      <c r="AT162" t="str">
        <v>Tick Pod</v>
      </c>
    </row>
    <row r="163" spans="1:46">
      <c r="A163" t="str">
        <v>Statuette</v>
      </c>
      <c r="B163" t="str">
        <v>Gray</v>
      </c>
      <c r="C163">
        <v>3000</v>
      </c>
      <c r="D163">
        <v>0</v>
      </c>
      <c r="E163" t="str">
        <v>No known use</v>
      </c>
      <c r="F163" t="str">
        <v>Unknown</v>
      </c>
      <c r="G163" t="str">
        <v>Cannot be dismantled</v>
      </c>
      <c r="AT163" t="str">
        <v>Toaster</v>
      </c>
    </row>
    <row r="164" spans="1:46">
      <c r="A164" t="str">
        <v>Steel Spring</v>
      </c>
      <c r="B164" t="str">
        <v>Green</v>
      </c>
      <c r="C164">
        <v>300</v>
      </c>
      <c r="D164">
        <v>9</v>
      </c>
      <c r="E164" t="str">
        <v>Extended Light Mag I (1), Extended Medium Mag I (1), Extended Shotgun Mag I (1), Advanced Mechanical Components (2), Mod Components (2), Shrapnel Grenade (2)</v>
      </c>
      <c r="F164" t="str">
        <v>Industrial</v>
      </c>
      <c r="G164" t="str">
        <v>Metal Parts (3x)</v>
      </c>
      <c r="AT164" t="str">
        <v>Torn Blanket</v>
      </c>
    </row>
    <row r="165" spans="1:46">
      <c r="A165" t="str">
        <v>Surveyor Vault</v>
      </c>
      <c r="B165" t="str">
        <v>Blue</v>
      </c>
      <c r="C165">
        <v>2000</v>
      </c>
      <c r="D165">
        <v>5</v>
      </c>
      <c r="E165" t="str">
        <v>Medical Lab (5)</v>
      </c>
      <c r="F165" t="str">
        <v>Unknown</v>
      </c>
      <c r="G165" t="str">
        <v>Mechanical Components (2x), ARC Alloy (2x)</v>
      </c>
      <c r="AT165" t="str">
        <v>Torn Book</v>
      </c>
    </row>
    <row r="166" spans="1:46">
      <c r="A166" t="str">
        <v>Synthesized Fuel</v>
      </c>
      <c r="B166" t="str">
        <v>Blue</v>
      </c>
      <c r="C166">
        <v>700</v>
      </c>
      <c r="D166">
        <v>3</v>
      </c>
      <c r="E166" t="str">
        <v>Explosives Station (3)</v>
      </c>
      <c r="F166" t="str">
        <v>Exodus</v>
      </c>
      <c r="G166" t="str">
        <v>Oil (1x), Plastic Parts (1x)</v>
      </c>
      <c r="AT166" t="str">
        <v>Turbo Pump</v>
      </c>
    </row>
    <row r="167" spans="1:46">
      <c r="A167" t="str">
        <v>Syringe</v>
      </c>
      <c r="B167" t="str">
        <v>Blue</v>
      </c>
      <c r="C167">
        <v>500</v>
      </c>
      <c r="D167">
        <v>0</v>
      </c>
      <c r="E167" t="str">
        <v>No known use</v>
      </c>
      <c r="F167" t="str">
        <v>Medical</v>
      </c>
      <c r="G167" t="str">
        <v>Plastic Parts (3x), Chemicals (2x)</v>
      </c>
      <c r="AT167" t="str">
        <v>Unusable Weapon</v>
      </c>
    </row>
    <row r="168" spans="1:46">
      <c r="A168" t="str">
        <v>Tattered ARC Lining</v>
      </c>
      <c r="B168" t="str">
        <v>Green</v>
      </c>
      <c r="C168">
        <v>640</v>
      </c>
      <c r="D168">
        <v>0</v>
      </c>
      <c r="E168" t="str">
        <v>No known use</v>
      </c>
      <c r="F168" t="str">
        <v>Unknown</v>
      </c>
      <c r="G168" t="str">
        <v>Fabric (12x)</v>
      </c>
      <c r="AT168" t="str">
        <v>Vase</v>
      </c>
    </row>
    <row r="169" spans="1:46">
      <c r="A169" t="str">
        <v>Tattered Clothes</v>
      </c>
      <c r="B169" t="str">
        <v>Green</v>
      </c>
      <c r="C169">
        <v>270</v>
      </c>
      <c r="D169">
        <v>0</v>
      </c>
      <c r="E169" t="str">
        <v>No known use</v>
      </c>
      <c r="F169" t="str">
        <v>Unknown</v>
      </c>
      <c r="G169" t="str">
        <v>Fabric (11x)</v>
      </c>
      <c r="AT169" t="str">
        <v>Very Comfortable Pillow</v>
      </c>
    </row>
    <row r="170" spans="1:46">
      <c r="A170" t="str">
        <v>Thermostat</v>
      </c>
      <c r="B170" t="str">
        <v>Blue</v>
      </c>
      <c r="C170">
        <v>1000</v>
      </c>
      <c r="D170">
        <v>0</v>
      </c>
      <c r="E170" t="str">
        <v>No known use</v>
      </c>
      <c r="F170" t="str">
        <v>Unknown</v>
      </c>
      <c r="G170" t="str">
        <v>Rubber Parts (6x), Sensors (2x)</v>
      </c>
      <c r="AT170" t="str">
        <v>Volcanic Rock</v>
      </c>
    </row>
    <row r="171" spans="1:46">
      <c r="A171" t="str">
        <v>Tick Pod</v>
      </c>
      <c r="B171" t="str">
        <v>Green</v>
      </c>
      <c r="C171">
        <v>640</v>
      </c>
      <c r="D171">
        <v>8</v>
      </c>
      <c r="E171" t="str">
        <v>Medical Lab (8)</v>
      </c>
      <c r="F171" t="str">
        <v>ARC</v>
      </c>
      <c r="G171" t="str">
        <v>ARC Alloy (1x), Metal Parts (1x)</v>
      </c>
      <c r="AT171" t="str">
        <v>Voltage Converter</v>
      </c>
    </row>
    <row r="172" spans="1:46">
      <c r="A172" t="str">
        <v>Toaster</v>
      </c>
      <c r="B172" t="str">
        <v>Blue</v>
      </c>
      <c r="C172">
        <v>1000</v>
      </c>
      <c r="D172">
        <v>3</v>
      </c>
      <c r="E172" t="str">
        <v>Refiner (3)</v>
      </c>
      <c r="F172" t="str">
        <v>Residential</v>
      </c>
      <c r="G172" t="str">
        <v>Plastic Parts (5x), Wires (3x)</v>
      </c>
      <c r="AT172" t="str">
        <v>Wasp Driver</v>
      </c>
    </row>
    <row r="173" spans="1:46">
      <c r="A173" t="str">
        <v>Torn Blanket</v>
      </c>
      <c r="B173" t="str">
        <v>Blue</v>
      </c>
      <c r="C173">
        <v>640</v>
      </c>
      <c r="D173">
        <v>0</v>
      </c>
      <c r="E173" t="str">
        <v>No known use</v>
      </c>
      <c r="F173" t="str">
        <v>Unknown</v>
      </c>
      <c r="G173" t="str">
        <v>Fabric (12x)</v>
      </c>
      <c r="AT173" t="str">
        <v>Water Filter</v>
      </c>
    </row>
    <row r="174" spans="1:46">
      <c r="A174" t="str">
        <v>Torn Book</v>
      </c>
      <c r="B174" t="str">
        <v>Gray</v>
      </c>
      <c r="C174">
        <v>1000</v>
      </c>
      <c r="D174">
        <v>0</v>
      </c>
      <c r="E174" t="str">
        <v>No known use</v>
      </c>
      <c r="F174" t="str">
        <v>Unknown</v>
      </c>
      <c r="G174" t="str">
        <v>Cannot be dismantled</v>
      </c>
      <c r="AT174" t="str">
        <v>Water Pump</v>
      </c>
    </row>
    <row r="175" spans="1:46">
      <c r="A175" t="str">
        <v>Turbo Pump</v>
      </c>
      <c r="B175" t="str">
        <v>Blue</v>
      </c>
      <c r="C175">
        <v>2000</v>
      </c>
      <c r="D175">
        <v>0</v>
      </c>
      <c r="E175" t="str">
        <v>No known use</v>
      </c>
      <c r="F175" t="str">
        <v>Unknown</v>
      </c>
      <c r="G175" t="str">
        <v>Mechanical Components (1x), Oil (3x)</v>
      </c>
      <c r="AT175" t="str">
        <v>Wires</v>
      </c>
    </row>
    <row r="176" spans="1:46">
      <c r="A176" t="str">
        <v>Unusable Weapon</v>
      </c>
      <c r="B176" t="str">
        <v>Blue</v>
      </c>
      <c r="C176">
        <v>2000</v>
      </c>
      <c r="D176">
        <v>0</v>
      </c>
      <c r="E176" t="str">
        <v>No known use</v>
      </c>
      <c r="F176" t="str">
        <v>Unknown</v>
      </c>
      <c r="G176" t="str">
        <v>Metal Parts (4x), Simple Gun Parts (5x)</v>
      </c>
    </row>
    <row r="177" spans="1:7">
      <c r="A177" t="str">
        <v>Vase</v>
      </c>
      <c r="B177" t="str">
        <v>Blue</v>
      </c>
      <c r="C177">
        <v>3000</v>
      </c>
      <c r="D177">
        <v>0</v>
      </c>
      <c r="E177" t="str">
        <v>No known use</v>
      </c>
      <c r="F177" t="str">
        <v>Unknown</v>
      </c>
      <c r="G177" t="str">
        <v>Cannot be dismantled</v>
      </c>
    </row>
    <row r="178" spans="1:7">
      <c r="A178" t="str">
        <v>Very Comfortable Pillow</v>
      </c>
      <c r="B178" t="str">
        <v>Gray</v>
      </c>
      <c r="C178">
        <v>2000</v>
      </c>
      <c r="D178">
        <v>3</v>
      </c>
      <c r="E178" t="str">
        <v>Scrappy (3)</v>
      </c>
      <c r="F178" t="str">
        <v>Commercial, Residential</v>
      </c>
      <c r="G178" t="str">
        <v>Cannot be dismantled</v>
      </c>
    </row>
    <row r="179" spans="1:7">
      <c r="A179" t="str">
        <v>Volcanic Rock</v>
      </c>
      <c r="B179" t="str">
        <v>Gray</v>
      </c>
      <c r="C179">
        <v>270</v>
      </c>
      <c r="D179">
        <v>0</v>
      </c>
      <c r="E179" t="str">
        <v>No known use</v>
      </c>
      <c r="F179" t="str">
        <v>Unknown</v>
      </c>
      <c r="G179" t="str">
        <v>Cannot be dismantled</v>
      </c>
    </row>
    <row r="180" spans="1:7">
      <c r="A180" t="str">
        <v>Voltage Converter</v>
      </c>
      <c r="B180" t="str">
        <v>Blue</v>
      </c>
      <c r="C180">
        <v>500</v>
      </c>
      <c r="D180">
        <v>2</v>
      </c>
      <c r="E180" t="str">
        <v>Heavy Shield (2)</v>
      </c>
      <c r="F180" t="str">
        <v>Electrical</v>
      </c>
      <c r="G180" t="str">
        <v>Wires (1x), Rubber Parts (1x)</v>
      </c>
    </row>
    <row r="181" spans="1:7">
      <c r="A181" t="str">
        <v>Wasp Driver</v>
      </c>
      <c r="B181" t="str">
        <v>Blue</v>
      </c>
      <c r="C181">
        <v>1000</v>
      </c>
      <c r="D181">
        <v>8</v>
      </c>
      <c r="E181" t="str">
        <v>Gunsmith (8)</v>
      </c>
      <c r="F181" t="str">
        <v>ARC</v>
      </c>
      <c r="G181" t="str">
        <v>ARC Alloy (1x), Electrical Components (1x)</v>
      </c>
    </row>
    <row r="182" spans="1:7">
      <c r="A182" t="str">
        <v>Water Filter</v>
      </c>
      <c r="B182" t="str">
        <v>Blue</v>
      </c>
      <c r="C182">
        <v>1000</v>
      </c>
      <c r="D182">
        <v>0</v>
      </c>
      <c r="E182" t="str">
        <v>No known use</v>
      </c>
      <c r="F182" t="str">
        <v>Unknown</v>
      </c>
      <c r="G182" t="str">
        <v>Rubber Parts (2x), Canister (3x)</v>
      </c>
    </row>
    <row r="183" spans="1:7">
      <c r="A183" t="str">
        <v>Water Pump</v>
      </c>
      <c r="B183" t="str">
        <v>Blue</v>
      </c>
      <c r="C183">
        <v>1000</v>
      </c>
      <c r="D183">
        <v>0</v>
      </c>
      <c r="E183" t="str">
        <v>No known use</v>
      </c>
      <c r="F183" t="str">
        <v>Unknown</v>
      </c>
      <c r="G183" t="str">
        <v>Metal Parts (4x), Oil (2x)</v>
      </c>
    </row>
    <row r="184" spans="1:7">
      <c r="A184" t="str">
        <v>Wires</v>
      </c>
      <c r="B184" t="str">
        <v>Green</v>
      </c>
      <c r="C184">
        <v>200</v>
      </c>
      <c r="D184">
        <v>6</v>
      </c>
      <c r="E184" t="str">
        <v>Compensator I (1), Muzzle Brake I (1), Shotgun Choke I (1), Advanced Electrical Components (3)</v>
      </c>
      <c r="F184" t="str">
        <v>Electrical, Technological</v>
      </c>
      <c r="G184" t="str">
        <v>Rubber Parts (2x)</v>
      </c>
    </row>
  </sheetData>
  <mergeCells count="5">
    <mergeCell ref="B3:C3"/>
    <mergeCell ref="B4:C4"/>
    <mergeCell ref="B5:C5"/>
    <mergeCell ref="B6:C6"/>
    <mergeCell ref="A1:C1"/>
  </mergeCells>
  <conditionalFormatting sqref="B10:B184">
    <cfRule type="cellIs" dxfId="3" priority="2" operator="equal">
      <formula>"Green"</formula>
    </cfRule>
    <cfRule type="cellIs" dxfId="2" priority="3" operator="equal">
      <formula>"Blue"</formula>
    </cfRule>
    <cfRule type="cellIs" dxfId="1" priority="4" operator="equal">
      <formula>"Pink"</formula>
    </cfRule>
  </conditionalFormatting>
  <conditionalFormatting sqref="B10:B185">
    <cfRule type="cellIs" dxfId="0" priority="1" operator="equal">
      <formula>"Yellow"</formula>
    </cfRule>
  </conditionalFormatting>
  <dataValidations count="4">
    <dataValidation type="list" allowBlank="1" showInputMessage="1" showErrorMessage="1" sqref="C2 B3" xr:uid="{C35CE140-D8E1-49EB-928F-2BF6FF57F5BC}">
      <formula1>_xlfn.ANCHORARRAY($AQ$1)</formula1>
    </dataValidation>
    <dataValidation type="list" allowBlank="1" showInputMessage="1" showErrorMessage="1" sqref="D2 B4" xr:uid="{AD977370-BB23-444A-AA64-8CED737D5F8C}">
      <formula1>_xlfn.ANCHORARRAY($AR$1)</formula1>
    </dataValidation>
    <dataValidation type="list" allowBlank="1" showInputMessage="1" showErrorMessage="1" sqref="E2 B5" xr:uid="{DA9D67B0-849C-479B-9104-EB1E4EF2BA6E}">
      <formula1>_xlfn.ANCHORARRAY($AS$1)</formula1>
    </dataValidation>
    <dataValidation type="list" allowBlank="1" showInputMessage="1" showErrorMessage="1" sqref="F2 B6" xr:uid="{1575AA31-22F8-450A-A84D-7599139D37C2}">
      <formula1>_xlfn.ANCHORARRAY($AT$1)</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2292" r:id="rId3" name="Check Box 4">
              <controlPr defaultSize="0" autoFill="0" autoLine="0" autoPict="0">
                <anchor moveWithCells="1">
                  <from>
                    <xdr:col>1</xdr:col>
                    <xdr:colOff>47625</xdr:colOff>
                    <xdr:row>6</xdr:row>
                    <xdr:rowOff>0</xdr:rowOff>
                  </from>
                  <to>
                    <xdr:col>1</xdr:col>
                    <xdr:colOff>952500</xdr:colOff>
                    <xdr:row>7</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25877-F320-421F-9CD5-E339318EE3A1}">
  <sheetPr>
    <tabColor theme="1" tint="0.499984740745262"/>
  </sheetPr>
  <dimension ref="A1:C72"/>
  <sheetViews>
    <sheetView topLeftCell="B1" workbookViewId="0">
      <selection activeCell="C53" sqref="C53"/>
    </sheetView>
  </sheetViews>
  <sheetFormatPr defaultRowHeight="15"/>
  <cols>
    <col min="1" max="1" width="9.140625" hidden="1" customWidth="1"/>
    <col min="2" max="2" width="13.28515625" bestFit="1" customWidth="1"/>
    <col min="3" max="3" width="32.5703125" bestFit="1" customWidth="1"/>
  </cols>
  <sheetData>
    <row r="1" spans="1:3">
      <c r="A1" t="s">
        <v>644</v>
      </c>
      <c r="B1" t="s">
        <v>67</v>
      </c>
      <c r="C1" t="s">
        <v>68</v>
      </c>
    </row>
    <row r="2" spans="1:3">
      <c r="A2" s="1" t="s">
        <v>70</v>
      </c>
      <c r="B2" t="s">
        <v>551</v>
      </c>
      <c r="C2" t="s">
        <v>44</v>
      </c>
    </row>
    <row r="3" spans="1:3">
      <c r="A3" s="1" t="s">
        <v>71</v>
      </c>
      <c r="B3" t="s">
        <v>552</v>
      </c>
      <c r="C3" t="s">
        <v>35</v>
      </c>
    </row>
    <row r="4" spans="1:3">
      <c r="A4" s="1" t="s">
        <v>72</v>
      </c>
      <c r="B4" t="s">
        <v>553</v>
      </c>
      <c r="C4" t="s">
        <v>31</v>
      </c>
    </row>
    <row r="5" spans="1:3">
      <c r="A5" s="1" t="s">
        <v>73</v>
      </c>
      <c r="B5" t="s">
        <v>554</v>
      </c>
      <c r="C5" t="s">
        <v>40</v>
      </c>
    </row>
    <row r="6" spans="1:3">
      <c r="A6" s="1" t="s">
        <v>74</v>
      </c>
      <c r="B6" t="s">
        <v>555</v>
      </c>
      <c r="C6" t="s">
        <v>52</v>
      </c>
    </row>
    <row r="7" spans="1:3">
      <c r="A7" s="1" t="s">
        <v>75</v>
      </c>
      <c r="B7" t="s">
        <v>556</v>
      </c>
      <c r="C7" t="s">
        <v>61</v>
      </c>
    </row>
    <row r="8" spans="1:3">
      <c r="A8" s="1" t="s">
        <v>76</v>
      </c>
      <c r="B8" t="s">
        <v>557</v>
      </c>
      <c r="C8" t="s">
        <v>47</v>
      </c>
    </row>
    <row r="9" spans="1:3">
      <c r="A9" s="1" t="s">
        <v>77</v>
      </c>
      <c r="B9" t="str">
        <f>_xlfn.CONCAT("CRFT-",A9)</f>
        <v>CRFT-008</v>
      </c>
      <c r="C9" t="s">
        <v>907</v>
      </c>
    </row>
    <row r="10" spans="1:3">
      <c r="A10" s="1" t="s">
        <v>78</v>
      </c>
      <c r="B10" t="str">
        <f t="shared" ref="B10:B72" si="0">_xlfn.CONCAT("CRFT-",A10)</f>
        <v>CRFT-009</v>
      </c>
      <c r="C10" t="s">
        <v>908</v>
      </c>
    </row>
    <row r="11" spans="1:3">
      <c r="A11" s="1" t="s">
        <v>79</v>
      </c>
      <c r="B11" t="str">
        <f t="shared" si="0"/>
        <v>CRFT-010</v>
      </c>
      <c r="C11" t="s">
        <v>909</v>
      </c>
    </row>
    <row r="12" spans="1:3">
      <c r="A12" s="1" t="s">
        <v>80</v>
      </c>
      <c r="B12" t="str">
        <f t="shared" si="0"/>
        <v>CRFT-011</v>
      </c>
      <c r="C12" t="s">
        <v>910</v>
      </c>
    </row>
    <row r="13" spans="1:3">
      <c r="A13" s="1" t="s">
        <v>81</v>
      </c>
      <c r="B13" t="str">
        <f t="shared" si="0"/>
        <v>CRFT-012</v>
      </c>
      <c r="C13" t="s">
        <v>911</v>
      </c>
    </row>
    <row r="14" spans="1:3">
      <c r="A14" s="1" t="s">
        <v>82</v>
      </c>
      <c r="B14" t="str">
        <f t="shared" si="0"/>
        <v>CRFT-013</v>
      </c>
      <c r="C14" t="s">
        <v>912</v>
      </c>
    </row>
    <row r="15" spans="1:3">
      <c r="A15" s="1" t="s">
        <v>83</v>
      </c>
      <c r="B15" t="str">
        <f t="shared" si="0"/>
        <v>CRFT-014</v>
      </c>
      <c r="C15" t="s">
        <v>913</v>
      </c>
    </row>
    <row r="16" spans="1:3">
      <c r="A16" s="1" t="s">
        <v>84</v>
      </c>
      <c r="B16" t="str">
        <f t="shared" si="0"/>
        <v>CRFT-015</v>
      </c>
      <c r="C16" t="s">
        <v>914</v>
      </c>
    </row>
    <row r="17" spans="1:3">
      <c r="A17" s="1" t="s">
        <v>85</v>
      </c>
      <c r="B17" t="str">
        <f t="shared" si="0"/>
        <v>CRFT-016</v>
      </c>
      <c r="C17" t="s">
        <v>915</v>
      </c>
    </row>
    <row r="18" spans="1:3">
      <c r="A18" s="1" t="s">
        <v>86</v>
      </c>
      <c r="B18" t="str">
        <f t="shared" si="0"/>
        <v>CRFT-017</v>
      </c>
      <c r="C18" t="s">
        <v>916</v>
      </c>
    </row>
    <row r="19" spans="1:3">
      <c r="A19" s="1" t="s">
        <v>87</v>
      </c>
      <c r="B19" t="str">
        <f t="shared" si="0"/>
        <v>CRFT-018</v>
      </c>
      <c r="C19" t="s">
        <v>917</v>
      </c>
    </row>
    <row r="20" spans="1:3">
      <c r="A20" s="1" t="s">
        <v>88</v>
      </c>
      <c r="B20" t="str">
        <f t="shared" si="0"/>
        <v>CRFT-019</v>
      </c>
      <c r="C20" t="s">
        <v>918</v>
      </c>
    </row>
    <row r="21" spans="1:3">
      <c r="A21" s="1" t="s">
        <v>89</v>
      </c>
      <c r="B21" t="str">
        <f t="shared" si="0"/>
        <v>CRFT-020</v>
      </c>
      <c r="C21" t="s">
        <v>919</v>
      </c>
    </row>
    <row r="22" spans="1:3">
      <c r="A22" s="1" t="s">
        <v>90</v>
      </c>
      <c r="B22" t="str">
        <f t="shared" si="0"/>
        <v>CRFT-021</v>
      </c>
      <c r="C22" t="s">
        <v>920</v>
      </c>
    </row>
    <row r="23" spans="1:3">
      <c r="A23" s="1" t="s">
        <v>91</v>
      </c>
      <c r="B23" t="str">
        <f t="shared" si="0"/>
        <v>CRFT-022</v>
      </c>
      <c r="C23" t="s">
        <v>921</v>
      </c>
    </row>
    <row r="24" spans="1:3">
      <c r="A24" s="1" t="s">
        <v>92</v>
      </c>
      <c r="B24" t="str">
        <f t="shared" si="0"/>
        <v>CRFT-023</v>
      </c>
      <c r="C24" t="s">
        <v>922</v>
      </c>
    </row>
    <row r="25" spans="1:3">
      <c r="A25" s="1" t="s">
        <v>93</v>
      </c>
      <c r="B25" t="str">
        <f t="shared" si="0"/>
        <v>CRFT-024</v>
      </c>
      <c r="C25" t="s">
        <v>923</v>
      </c>
    </row>
    <row r="26" spans="1:3">
      <c r="A26" s="1" t="s">
        <v>94</v>
      </c>
      <c r="B26" t="str">
        <f t="shared" si="0"/>
        <v>CRFT-025</v>
      </c>
      <c r="C26" t="s">
        <v>924</v>
      </c>
    </row>
    <row r="27" spans="1:3">
      <c r="A27" s="1" t="s">
        <v>95</v>
      </c>
      <c r="B27" t="str">
        <f t="shared" si="0"/>
        <v>CRFT-026</v>
      </c>
      <c r="C27" t="s">
        <v>925</v>
      </c>
    </row>
    <row r="28" spans="1:3">
      <c r="A28" s="1" t="s">
        <v>96</v>
      </c>
      <c r="B28" t="str">
        <f t="shared" si="0"/>
        <v>CRFT-027</v>
      </c>
      <c r="C28" t="s">
        <v>926</v>
      </c>
    </row>
    <row r="29" spans="1:3">
      <c r="A29" s="1" t="s">
        <v>97</v>
      </c>
      <c r="B29" t="str">
        <f t="shared" si="0"/>
        <v>CRFT-028</v>
      </c>
      <c r="C29" t="s">
        <v>927</v>
      </c>
    </row>
    <row r="30" spans="1:3">
      <c r="A30" s="1" t="s">
        <v>98</v>
      </c>
      <c r="B30" t="str">
        <f t="shared" si="0"/>
        <v>CRFT-029</v>
      </c>
      <c r="C30" t="s">
        <v>928</v>
      </c>
    </row>
    <row r="31" spans="1:3">
      <c r="A31" s="1" t="s">
        <v>99</v>
      </c>
      <c r="B31" t="str">
        <f t="shared" si="0"/>
        <v>CRFT-030</v>
      </c>
      <c r="C31" t="s">
        <v>929</v>
      </c>
    </row>
    <row r="32" spans="1:3">
      <c r="A32" s="1" t="s">
        <v>100</v>
      </c>
      <c r="B32" t="str">
        <f t="shared" si="0"/>
        <v>CRFT-031</v>
      </c>
      <c r="C32" t="s">
        <v>930</v>
      </c>
    </row>
    <row r="33" spans="1:3">
      <c r="A33" s="1" t="s">
        <v>101</v>
      </c>
      <c r="B33" t="str">
        <f t="shared" si="0"/>
        <v>CRFT-032</v>
      </c>
      <c r="C33" t="s">
        <v>931</v>
      </c>
    </row>
    <row r="34" spans="1:3">
      <c r="A34" s="1" t="s">
        <v>102</v>
      </c>
      <c r="B34" t="str">
        <f t="shared" si="0"/>
        <v>CRFT-033</v>
      </c>
      <c r="C34" t="s">
        <v>932</v>
      </c>
    </row>
    <row r="35" spans="1:3">
      <c r="A35" s="1" t="s">
        <v>103</v>
      </c>
      <c r="B35" t="str">
        <f t="shared" si="0"/>
        <v>CRFT-034</v>
      </c>
      <c r="C35" t="s">
        <v>933</v>
      </c>
    </row>
    <row r="36" spans="1:3">
      <c r="A36" s="1" t="s">
        <v>104</v>
      </c>
      <c r="B36" t="str">
        <f t="shared" si="0"/>
        <v>CRFT-035</v>
      </c>
      <c r="C36" t="s">
        <v>934</v>
      </c>
    </row>
    <row r="37" spans="1:3">
      <c r="A37" s="1" t="s">
        <v>105</v>
      </c>
      <c r="B37" t="str">
        <f t="shared" si="0"/>
        <v>CRFT-036</v>
      </c>
      <c r="C37" t="s">
        <v>935</v>
      </c>
    </row>
    <row r="38" spans="1:3">
      <c r="A38" s="1" t="s">
        <v>106</v>
      </c>
      <c r="B38" t="str">
        <f t="shared" si="0"/>
        <v>CRFT-037</v>
      </c>
      <c r="C38" t="s">
        <v>936</v>
      </c>
    </row>
    <row r="39" spans="1:3">
      <c r="A39" s="1" t="s">
        <v>107</v>
      </c>
      <c r="B39" t="str">
        <f t="shared" si="0"/>
        <v>CRFT-038</v>
      </c>
      <c r="C39" t="s">
        <v>937</v>
      </c>
    </row>
    <row r="40" spans="1:3">
      <c r="A40" s="1" t="s">
        <v>108</v>
      </c>
      <c r="B40" t="str">
        <f t="shared" si="0"/>
        <v>CRFT-039</v>
      </c>
      <c r="C40" t="s">
        <v>938</v>
      </c>
    </row>
    <row r="41" spans="1:3">
      <c r="A41" s="1" t="s">
        <v>109</v>
      </c>
      <c r="B41" t="str">
        <f t="shared" si="0"/>
        <v>CRFT-040</v>
      </c>
      <c r="C41" t="s">
        <v>939</v>
      </c>
    </row>
    <row r="42" spans="1:3">
      <c r="A42" s="1" t="s">
        <v>110</v>
      </c>
      <c r="B42" t="str">
        <f t="shared" si="0"/>
        <v>CRFT-041</v>
      </c>
      <c r="C42" t="s">
        <v>940</v>
      </c>
    </row>
    <row r="43" spans="1:3">
      <c r="A43" s="1" t="s">
        <v>111</v>
      </c>
      <c r="B43" t="str">
        <f t="shared" si="0"/>
        <v>CRFT-042</v>
      </c>
      <c r="C43" t="s">
        <v>941</v>
      </c>
    </row>
    <row r="44" spans="1:3">
      <c r="A44" s="1" t="s">
        <v>112</v>
      </c>
      <c r="B44" t="str">
        <f t="shared" si="0"/>
        <v>CRFT-043</v>
      </c>
      <c r="C44" t="s">
        <v>33</v>
      </c>
    </row>
    <row r="45" spans="1:3">
      <c r="A45" s="1" t="s">
        <v>113</v>
      </c>
      <c r="B45" t="str">
        <f t="shared" si="0"/>
        <v>CRFT-044</v>
      </c>
      <c r="C45" t="s">
        <v>8</v>
      </c>
    </row>
    <row r="46" spans="1:3">
      <c r="A46" s="1" t="s">
        <v>114</v>
      </c>
      <c r="B46" t="str">
        <f t="shared" si="0"/>
        <v>CRFT-045</v>
      </c>
      <c r="C46" t="s">
        <v>38</v>
      </c>
    </row>
    <row r="47" spans="1:3">
      <c r="A47" s="1" t="s">
        <v>115</v>
      </c>
      <c r="B47" t="str">
        <f t="shared" si="0"/>
        <v>CRFT-046</v>
      </c>
      <c r="C47" t="s">
        <v>42</v>
      </c>
    </row>
    <row r="48" spans="1:3">
      <c r="A48" s="1" t="s">
        <v>116</v>
      </c>
      <c r="B48" t="str">
        <f t="shared" si="0"/>
        <v>CRFT-047</v>
      </c>
      <c r="C48" t="s">
        <v>186</v>
      </c>
    </row>
    <row r="49" spans="1:3">
      <c r="A49" s="1" t="s">
        <v>117</v>
      </c>
      <c r="B49" t="str">
        <f t="shared" si="0"/>
        <v>CRFT-048</v>
      </c>
      <c r="C49" t="s">
        <v>14</v>
      </c>
    </row>
    <row r="50" spans="1:3">
      <c r="A50" s="1" t="s">
        <v>118</v>
      </c>
      <c r="B50" t="str">
        <f t="shared" si="0"/>
        <v>CRFT-049</v>
      </c>
      <c r="C50" t="s">
        <v>17</v>
      </c>
    </row>
    <row r="51" spans="1:3">
      <c r="A51" s="1" t="s">
        <v>119</v>
      </c>
      <c r="B51" t="str">
        <f t="shared" si="0"/>
        <v>CRFT-050</v>
      </c>
      <c r="C51" t="s">
        <v>11</v>
      </c>
    </row>
    <row r="52" spans="1:3">
      <c r="A52" s="1" t="s">
        <v>245</v>
      </c>
      <c r="B52" t="str">
        <f t="shared" si="0"/>
        <v>CRFT-051</v>
      </c>
      <c r="C52" t="s">
        <v>5</v>
      </c>
    </row>
    <row r="53" spans="1:3">
      <c r="A53" s="1" t="s">
        <v>246</v>
      </c>
      <c r="B53" t="str">
        <f t="shared" si="0"/>
        <v>CRFT-052</v>
      </c>
      <c r="C53" t="s">
        <v>183</v>
      </c>
    </row>
    <row r="54" spans="1:3">
      <c r="A54" s="1" t="s">
        <v>247</v>
      </c>
      <c r="B54" t="str">
        <f t="shared" si="0"/>
        <v>CRFT-053</v>
      </c>
      <c r="C54" t="s">
        <v>199</v>
      </c>
    </row>
    <row r="55" spans="1:3">
      <c r="A55" s="1" t="s">
        <v>248</v>
      </c>
      <c r="B55" t="str">
        <f t="shared" si="0"/>
        <v>CRFT-054</v>
      </c>
      <c r="C55" t="s">
        <v>50</v>
      </c>
    </row>
    <row r="56" spans="1:3">
      <c r="A56" s="1" t="s">
        <v>249</v>
      </c>
      <c r="B56" t="str">
        <f t="shared" si="0"/>
        <v>CRFT-055</v>
      </c>
      <c r="C56" t="s">
        <v>1</v>
      </c>
    </row>
    <row r="57" spans="1:3">
      <c r="A57" s="1" t="s">
        <v>250</v>
      </c>
      <c r="B57" t="str">
        <f t="shared" si="0"/>
        <v>CRFT-056</v>
      </c>
      <c r="C57" t="s">
        <v>942</v>
      </c>
    </row>
    <row r="58" spans="1:3">
      <c r="A58" s="1" t="s">
        <v>251</v>
      </c>
      <c r="B58" t="str">
        <f t="shared" si="0"/>
        <v>CRFT-057</v>
      </c>
      <c r="C58" t="s">
        <v>943</v>
      </c>
    </row>
    <row r="59" spans="1:3">
      <c r="A59" s="1" t="s">
        <v>252</v>
      </c>
      <c r="B59" t="str">
        <f t="shared" si="0"/>
        <v>CRFT-058</v>
      </c>
      <c r="C59" t="s">
        <v>944</v>
      </c>
    </row>
    <row r="60" spans="1:3">
      <c r="A60" s="1" t="s">
        <v>253</v>
      </c>
      <c r="B60" t="str">
        <f t="shared" si="0"/>
        <v>CRFT-059</v>
      </c>
      <c r="C60" t="s">
        <v>917</v>
      </c>
    </row>
    <row r="61" spans="1:3">
      <c r="A61" s="1" t="s">
        <v>254</v>
      </c>
      <c r="B61" t="str">
        <f t="shared" si="0"/>
        <v>CRFT-060</v>
      </c>
      <c r="C61" t="s">
        <v>945</v>
      </c>
    </row>
    <row r="62" spans="1:3">
      <c r="A62" s="1" t="s">
        <v>255</v>
      </c>
      <c r="B62" t="str">
        <f t="shared" si="0"/>
        <v>CRFT-061</v>
      </c>
      <c r="C62" t="s">
        <v>946</v>
      </c>
    </row>
    <row r="63" spans="1:3">
      <c r="A63" s="1" t="s">
        <v>256</v>
      </c>
      <c r="B63" t="str">
        <f t="shared" si="0"/>
        <v>CRFT-062</v>
      </c>
      <c r="C63" t="s">
        <v>947</v>
      </c>
    </row>
    <row r="64" spans="1:3">
      <c r="A64" s="1" t="s">
        <v>257</v>
      </c>
      <c r="B64" t="str">
        <f t="shared" si="0"/>
        <v>CRFT-063</v>
      </c>
      <c r="C64" t="s">
        <v>948</v>
      </c>
    </row>
    <row r="65" spans="1:3">
      <c r="A65" s="1" t="s">
        <v>258</v>
      </c>
      <c r="B65" t="str">
        <f t="shared" si="0"/>
        <v>CRFT-064</v>
      </c>
      <c r="C65" t="s">
        <v>949</v>
      </c>
    </row>
    <row r="66" spans="1:3">
      <c r="A66" s="1" t="s">
        <v>259</v>
      </c>
      <c r="B66" t="str">
        <f t="shared" si="0"/>
        <v>CRFT-065</v>
      </c>
      <c r="C66" t="s">
        <v>950</v>
      </c>
    </row>
    <row r="67" spans="1:3">
      <c r="A67" s="1" t="s">
        <v>260</v>
      </c>
      <c r="B67" t="str">
        <f t="shared" si="0"/>
        <v>CRFT-066</v>
      </c>
      <c r="C67" t="s">
        <v>951</v>
      </c>
    </row>
    <row r="68" spans="1:3">
      <c r="A68" s="1" t="s">
        <v>261</v>
      </c>
      <c r="B68" t="str">
        <f t="shared" si="0"/>
        <v>CRFT-067</v>
      </c>
      <c r="C68" t="s">
        <v>952</v>
      </c>
    </row>
    <row r="69" spans="1:3">
      <c r="A69" s="1" t="s">
        <v>262</v>
      </c>
      <c r="B69" t="str">
        <f t="shared" si="0"/>
        <v>CRFT-068</v>
      </c>
      <c r="C69" t="s">
        <v>953</v>
      </c>
    </row>
    <row r="70" spans="1:3">
      <c r="A70" s="1" t="s">
        <v>263</v>
      </c>
      <c r="B70" t="str">
        <f t="shared" si="0"/>
        <v>CRFT-069</v>
      </c>
      <c r="C70" t="s">
        <v>954</v>
      </c>
    </row>
    <row r="71" spans="1:3">
      <c r="A71" s="1" t="s">
        <v>264</v>
      </c>
      <c r="B71" t="str">
        <f t="shared" si="0"/>
        <v>CRFT-070</v>
      </c>
      <c r="C71" t="s">
        <v>955</v>
      </c>
    </row>
    <row r="72" spans="1:3">
      <c r="A72" s="1" t="s">
        <v>265</v>
      </c>
      <c r="B72" t="str">
        <f t="shared" si="0"/>
        <v>CRFT-071</v>
      </c>
      <c r="C72" t="s">
        <v>956</v>
      </c>
    </row>
  </sheetData>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EEE26-6504-4A4B-80E1-ADE36A6A9533}">
  <sheetPr>
    <tabColor theme="1" tint="0.499984740745262"/>
  </sheetPr>
  <dimension ref="A1:B13"/>
  <sheetViews>
    <sheetView workbookViewId="0">
      <selection activeCell="A14" sqref="A14"/>
    </sheetView>
  </sheetViews>
  <sheetFormatPr defaultRowHeight="15"/>
  <cols>
    <col min="1" max="1" width="12.5703125" bestFit="1" customWidth="1"/>
    <col min="2" max="2" width="15.85546875" customWidth="1"/>
  </cols>
  <sheetData>
    <row r="1" spans="1:2">
      <c r="A1" t="s">
        <v>558</v>
      </c>
      <c r="B1" t="s">
        <v>559</v>
      </c>
    </row>
    <row r="2" spans="1:2">
      <c r="A2" t="s">
        <v>570</v>
      </c>
      <c r="B2" t="s">
        <v>2</v>
      </c>
    </row>
    <row r="3" spans="1:2">
      <c r="A3" t="s">
        <v>571</v>
      </c>
      <c r="B3" t="s">
        <v>564</v>
      </c>
    </row>
    <row r="4" spans="1:2">
      <c r="A4" t="s">
        <v>572</v>
      </c>
      <c r="B4" t="s">
        <v>563</v>
      </c>
    </row>
    <row r="5" spans="1:2">
      <c r="A5" t="s">
        <v>573</v>
      </c>
      <c r="B5" t="s">
        <v>565</v>
      </c>
    </row>
    <row r="6" spans="1:2">
      <c r="A6" t="s">
        <v>574</v>
      </c>
      <c r="B6" t="s">
        <v>562</v>
      </c>
    </row>
    <row r="7" spans="1:2">
      <c r="A7" t="s">
        <v>575</v>
      </c>
      <c r="B7" t="s">
        <v>561</v>
      </c>
    </row>
    <row r="8" spans="1:2">
      <c r="A8" t="s">
        <v>576</v>
      </c>
      <c r="B8" t="s">
        <v>567</v>
      </c>
    </row>
    <row r="9" spans="1:2">
      <c r="A9" t="s">
        <v>577</v>
      </c>
      <c r="B9" t="s">
        <v>569</v>
      </c>
    </row>
    <row r="10" spans="1:2">
      <c r="A10" t="s">
        <v>578</v>
      </c>
      <c r="B10" t="s">
        <v>560</v>
      </c>
    </row>
    <row r="11" spans="1:2">
      <c r="A11" t="s">
        <v>579</v>
      </c>
      <c r="B11" t="s">
        <v>566</v>
      </c>
    </row>
    <row r="12" spans="1:2">
      <c r="A12" t="s">
        <v>580</v>
      </c>
      <c r="B12" t="s">
        <v>568</v>
      </c>
    </row>
    <row r="13" spans="1:2">
      <c r="A13" t="s">
        <v>905</v>
      </c>
      <c r="B13" t="s">
        <v>904</v>
      </c>
    </row>
  </sheetData>
  <sortState xmlns:xlrd2="http://schemas.microsoft.com/office/spreadsheetml/2017/richdata2" ref="B3:B12">
    <sortCondition ref="B2:B12"/>
  </sortState>
  <phoneticPr fontId="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DEDEC-706A-44F0-8572-098E21E45F5C}">
  <sheetPr>
    <tabColor theme="1" tint="0.499984740745262"/>
  </sheetPr>
  <dimension ref="A1:E176"/>
  <sheetViews>
    <sheetView topLeftCell="B1" workbookViewId="0">
      <selection activeCell="C36" sqref="C36"/>
    </sheetView>
  </sheetViews>
  <sheetFormatPr defaultRowHeight="15"/>
  <cols>
    <col min="1" max="1" width="10.42578125" hidden="1" customWidth="1"/>
    <col min="2" max="2" width="15.42578125" customWidth="1"/>
    <col min="3" max="3" width="32.5703125" bestFit="1" customWidth="1"/>
    <col min="4" max="4" width="18.7109375" customWidth="1"/>
    <col min="5" max="5" width="21.28515625" customWidth="1"/>
  </cols>
  <sheetData>
    <row r="1" spans="1:5">
      <c r="A1" t="s">
        <v>69</v>
      </c>
      <c r="B1" t="s">
        <v>370</v>
      </c>
      <c r="C1" t="s">
        <v>371</v>
      </c>
      <c r="D1" t="s">
        <v>372</v>
      </c>
      <c r="E1" t="s">
        <v>373</v>
      </c>
    </row>
    <row r="2" spans="1:5">
      <c r="A2" s="1" t="s">
        <v>70</v>
      </c>
      <c r="B2" t="s">
        <v>376</v>
      </c>
      <c r="C2" t="s">
        <v>120</v>
      </c>
      <c r="D2" t="s">
        <v>63</v>
      </c>
      <c r="E2">
        <v>640</v>
      </c>
    </row>
    <row r="3" spans="1:5">
      <c r="A3" s="1" t="s">
        <v>71</v>
      </c>
      <c r="B3" t="s">
        <v>377</v>
      </c>
      <c r="C3" t="s">
        <v>33</v>
      </c>
      <c r="D3" t="s">
        <v>63</v>
      </c>
      <c r="E3">
        <v>1750</v>
      </c>
    </row>
    <row r="4" spans="1:5">
      <c r="A4" s="1" t="s">
        <v>72</v>
      </c>
      <c r="B4" t="s">
        <v>378</v>
      </c>
      <c r="C4" t="s">
        <v>8</v>
      </c>
      <c r="D4" t="s">
        <v>63</v>
      </c>
      <c r="E4">
        <v>1750</v>
      </c>
    </row>
    <row r="5" spans="1:5">
      <c r="A5" s="1" t="s">
        <v>73</v>
      </c>
      <c r="B5" t="s">
        <v>379</v>
      </c>
      <c r="C5" t="s">
        <v>121</v>
      </c>
      <c r="D5" t="s">
        <v>64</v>
      </c>
      <c r="E5">
        <v>1000</v>
      </c>
    </row>
    <row r="6" spans="1:5">
      <c r="A6" s="1" t="s">
        <v>74</v>
      </c>
      <c r="B6" t="s">
        <v>380</v>
      </c>
      <c r="C6" t="s">
        <v>122</v>
      </c>
      <c r="D6" t="s">
        <v>65</v>
      </c>
      <c r="E6">
        <v>2000</v>
      </c>
    </row>
    <row r="7" spans="1:5">
      <c r="A7" s="1" t="s">
        <v>75</v>
      </c>
      <c r="B7" t="s">
        <v>381</v>
      </c>
      <c r="C7" t="s">
        <v>123</v>
      </c>
      <c r="D7" t="s">
        <v>63</v>
      </c>
      <c r="E7">
        <v>1000</v>
      </c>
    </row>
    <row r="8" spans="1:5">
      <c r="A8" s="1" t="s">
        <v>76</v>
      </c>
      <c r="B8" t="s">
        <v>382</v>
      </c>
      <c r="C8" t="s">
        <v>38</v>
      </c>
      <c r="D8" t="s">
        <v>63</v>
      </c>
      <c r="E8">
        <v>1000</v>
      </c>
    </row>
    <row r="9" spans="1:5">
      <c r="A9" s="1" t="s">
        <v>77</v>
      </c>
      <c r="B9" t="s">
        <v>383</v>
      </c>
      <c r="C9" t="s">
        <v>55</v>
      </c>
      <c r="D9" t="s">
        <v>64</v>
      </c>
      <c r="E9">
        <v>640</v>
      </c>
    </row>
    <row r="10" spans="1:5">
      <c r="A10" s="1" t="s">
        <v>78</v>
      </c>
      <c r="B10" t="s">
        <v>384</v>
      </c>
      <c r="C10" t="s">
        <v>36</v>
      </c>
      <c r="D10" t="s">
        <v>64</v>
      </c>
      <c r="E10">
        <v>200</v>
      </c>
    </row>
    <row r="11" spans="1:5">
      <c r="A11" s="1" t="s">
        <v>79</v>
      </c>
      <c r="B11" t="s">
        <v>385</v>
      </c>
      <c r="C11" t="s">
        <v>50</v>
      </c>
      <c r="D11" t="s">
        <v>63</v>
      </c>
      <c r="E11">
        <v>1000</v>
      </c>
    </row>
    <row r="12" spans="1:5">
      <c r="A12" s="1" t="s">
        <v>80</v>
      </c>
      <c r="B12" t="s">
        <v>386</v>
      </c>
      <c r="C12" t="s">
        <v>124</v>
      </c>
      <c r="D12" t="s">
        <v>63</v>
      </c>
      <c r="E12">
        <v>1000</v>
      </c>
    </row>
    <row r="13" spans="1:5">
      <c r="A13" s="1" t="s">
        <v>81</v>
      </c>
      <c r="B13" t="s">
        <v>387</v>
      </c>
      <c r="C13" t="s">
        <v>125</v>
      </c>
      <c r="D13" t="s">
        <v>63</v>
      </c>
      <c r="E13">
        <v>1000</v>
      </c>
    </row>
    <row r="14" spans="1:5">
      <c r="A14" s="1" t="s">
        <v>82</v>
      </c>
      <c r="B14" t="s">
        <v>388</v>
      </c>
      <c r="C14" t="s">
        <v>1</v>
      </c>
      <c r="D14" t="s">
        <v>63</v>
      </c>
      <c r="E14">
        <v>1000</v>
      </c>
    </row>
    <row r="15" spans="1:5">
      <c r="A15" s="1" t="s">
        <v>83</v>
      </c>
      <c r="B15" t="s">
        <v>389</v>
      </c>
      <c r="C15" t="s">
        <v>126</v>
      </c>
      <c r="D15" t="s">
        <v>63</v>
      </c>
      <c r="E15">
        <v>1000</v>
      </c>
    </row>
    <row r="16" spans="1:5">
      <c r="A16" s="1" t="s">
        <v>84</v>
      </c>
      <c r="B16" t="s">
        <v>390</v>
      </c>
      <c r="C16" t="s">
        <v>48</v>
      </c>
      <c r="D16" t="s">
        <v>65</v>
      </c>
      <c r="E16">
        <v>640</v>
      </c>
    </row>
    <row r="17" spans="1:5">
      <c r="A17" s="1" t="s">
        <v>85</v>
      </c>
      <c r="B17" t="s">
        <v>391</v>
      </c>
      <c r="C17" t="s">
        <v>127</v>
      </c>
      <c r="D17" t="s">
        <v>63</v>
      </c>
      <c r="E17">
        <v>1000</v>
      </c>
    </row>
    <row r="18" spans="1:5">
      <c r="A18" s="1" t="s">
        <v>86</v>
      </c>
      <c r="B18" t="s">
        <v>392</v>
      </c>
      <c r="C18" t="s">
        <v>128</v>
      </c>
      <c r="D18" t="s">
        <v>63</v>
      </c>
      <c r="E18">
        <v>1000</v>
      </c>
    </row>
    <row r="19" spans="1:5">
      <c r="A19" s="1" t="s">
        <v>87</v>
      </c>
      <c r="B19" t="s">
        <v>393</v>
      </c>
      <c r="C19" t="s">
        <v>29</v>
      </c>
      <c r="D19" t="s">
        <v>65</v>
      </c>
      <c r="E19">
        <v>100</v>
      </c>
    </row>
    <row r="20" spans="1:5">
      <c r="A20" s="1" t="s">
        <v>88</v>
      </c>
      <c r="B20" t="s">
        <v>394</v>
      </c>
      <c r="C20" t="s">
        <v>34</v>
      </c>
      <c r="D20" t="s">
        <v>66</v>
      </c>
      <c r="E20">
        <v>5000</v>
      </c>
    </row>
    <row r="21" spans="1:5">
      <c r="A21" s="1" t="s">
        <v>89</v>
      </c>
      <c r="B21" t="s">
        <v>395</v>
      </c>
      <c r="C21" t="s">
        <v>129</v>
      </c>
      <c r="D21" t="s">
        <v>64</v>
      </c>
      <c r="E21">
        <v>250</v>
      </c>
    </row>
    <row r="22" spans="1:5">
      <c r="A22" s="1" t="s">
        <v>90</v>
      </c>
      <c r="B22" t="s">
        <v>396</v>
      </c>
      <c r="C22" t="s">
        <v>130</v>
      </c>
      <c r="D22" t="s">
        <v>63</v>
      </c>
      <c r="E22">
        <v>1000</v>
      </c>
    </row>
    <row r="23" spans="1:5">
      <c r="A23" s="1" t="s">
        <v>91</v>
      </c>
      <c r="B23" t="s">
        <v>397</v>
      </c>
      <c r="C23" t="s">
        <v>131</v>
      </c>
      <c r="D23" t="s">
        <v>65</v>
      </c>
      <c r="E23">
        <v>1000</v>
      </c>
    </row>
    <row r="24" spans="1:5">
      <c r="A24" s="1" t="s">
        <v>92</v>
      </c>
      <c r="B24" t="s">
        <v>398</v>
      </c>
      <c r="C24" t="s">
        <v>132</v>
      </c>
      <c r="D24" t="s">
        <v>65</v>
      </c>
      <c r="E24" t="s">
        <v>375</v>
      </c>
    </row>
    <row r="25" spans="1:5">
      <c r="A25" s="1" t="s">
        <v>93</v>
      </c>
      <c r="B25" t="s">
        <v>399</v>
      </c>
      <c r="C25" t="s">
        <v>51</v>
      </c>
      <c r="D25" t="s">
        <v>66</v>
      </c>
      <c r="E25">
        <v>5000</v>
      </c>
    </row>
    <row r="26" spans="1:5">
      <c r="A26" s="1" t="s">
        <v>94</v>
      </c>
      <c r="B26" t="s">
        <v>400</v>
      </c>
      <c r="C26" t="s">
        <v>133</v>
      </c>
      <c r="D26" t="s">
        <v>66</v>
      </c>
      <c r="E26">
        <v>7000</v>
      </c>
    </row>
    <row r="27" spans="1:5">
      <c r="A27" s="1" t="s">
        <v>95</v>
      </c>
      <c r="B27" t="s">
        <v>401</v>
      </c>
      <c r="C27" t="s">
        <v>134</v>
      </c>
      <c r="D27" t="s">
        <v>63</v>
      </c>
      <c r="E27">
        <v>1000</v>
      </c>
    </row>
    <row r="28" spans="1:5">
      <c r="A28" s="1" t="s">
        <v>96</v>
      </c>
      <c r="B28" t="s">
        <v>402</v>
      </c>
      <c r="C28" t="s">
        <v>135</v>
      </c>
      <c r="D28" t="s">
        <v>63</v>
      </c>
      <c r="E28">
        <v>1000</v>
      </c>
    </row>
    <row r="29" spans="1:5">
      <c r="A29" s="1" t="s">
        <v>97</v>
      </c>
      <c r="B29" t="s">
        <v>403</v>
      </c>
      <c r="C29" t="s">
        <v>136</v>
      </c>
      <c r="D29" t="s">
        <v>63</v>
      </c>
      <c r="E29" t="s">
        <v>375</v>
      </c>
    </row>
    <row r="30" spans="1:5">
      <c r="A30" s="1" t="s">
        <v>98</v>
      </c>
      <c r="B30" t="s">
        <v>404</v>
      </c>
      <c r="C30" t="s">
        <v>137</v>
      </c>
      <c r="D30" t="s">
        <v>63</v>
      </c>
      <c r="E30">
        <v>1000</v>
      </c>
    </row>
    <row r="31" spans="1:5">
      <c r="A31" s="1" t="s">
        <v>99</v>
      </c>
      <c r="B31" t="s">
        <v>405</v>
      </c>
      <c r="C31" t="s">
        <v>138</v>
      </c>
      <c r="D31" t="s">
        <v>64</v>
      </c>
      <c r="E31">
        <v>640</v>
      </c>
    </row>
    <row r="32" spans="1:5">
      <c r="A32" s="1" t="s">
        <v>100</v>
      </c>
      <c r="B32" t="s">
        <v>406</v>
      </c>
      <c r="C32" t="s">
        <v>139</v>
      </c>
      <c r="D32" t="s">
        <v>64</v>
      </c>
      <c r="E32">
        <v>640</v>
      </c>
    </row>
    <row r="33" spans="1:5">
      <c r="A33" s="1" t="s">
        <v>101</v>
      </c>
      <c r="B33" t="s">
        <v>407</v>
      </c>
      <c r="C33" t="s">
        <v>140</v>
      </c>
      <c r="D33" t="s">
        <v>64</v>
      </c>
      <c r="E33">
        <v>270</v>
      </c>
    </row>
    <row r="34" spans="1:5">
      <c r="A34" s="1" t="s">
        <v>102</v>
      </c>
      <c r="B34" t="s">
        <v>408</v>
      </c>
      <c r="C34" t="s">
        <v>141</v>
      </c>
      <c r="D34" t="s">
        <v>64</v>
      </c>
      <c r="E34">
        <v>300</v>
      </c>
    </row>
    <row r="35" spans="1:5">
      <c r="A35" s="1" t="s">
        <v>103</v>
      </c>
      <c r="B35" t="s">
        <v>409</v>
      </c>
      <c r="C35" t="s">
        <v>58</v>
      </c>
      <c r="D35" t="s">
        <v>65</v>
      </c>
      <c r="E35">
        <v>1000</v>
      </c>
    </row>
    <row r="36" spans="1:5">
      <c r="A36" s="1" t="s">
        <v>104</v>
      </c>
      <c r="B36" t="s">
        <v>410</v>
      </c>
      <c r="C36" t="s">
        <v>27</v>
      </c>
      <c r="D36" t="s">
        <v>65</v>
      </c>
      <c r="E36">
        <v>50</v>
      </c>
    </row>
    <row r="37" spans="1:5">
      <c r="A37" s="1" t="s">
        <v>105</v>
      </c>
      <c r="B37" t="s">
        <v>411</v>
      </c>
      <c r="C37" t="s">
        <v>142</v>
      </c>
      <c r="D37" t="s">
        <v>65</v>
      </c>
      <c r="E37">
        <v>2000</v>
      </c>
    </row>
    <row r="38" spans="1:5">
      <c r="A38" s="1" t="s">
        <v>106</v>
      </c>
      <c r="B38" t="s">
        <v>412</v>
      </c>
      <c r="C38" t="s">
        <v>143</v>
      </c>
      <c r="D38" t="s">
        <v>66</v>
      </c>
      <c r="E38">
        <v>1000</v>
      </c>
    </row>
    <row r="39" spans="1:5">
      <c r="A39" s="1" t="s">
        <v>107</v>
      </c>
      <c r="B39" t="s">
        <v>413</v>
      </c>
      <c r="C39" t="s">
        <v>144</v>
      </c>
      <c r="D39" t="s">
        <v>63</v>
      </c>
      <c r="E39">
        <v>1000</v>
      </c>
    </row>
    <row r="40" spans="1:5">
      <c r="A40" s="1" t="s">
        <v>108</v>
      </c>
      <c r="B40" t="s">
        <v>414</v>
      </c>
      <c r="C40" t="s">
        <v>145</v>
      </c>
      <c r="D40" t="s">
        <v>63</v>
      </c>
      <c r="E40">
        <v>1000</v>
      </c>
    </row>
    <row r="41" spans="1:5">
      <c r="A41" s="1" t="s">
        <v>109</v>
      </c>
      <c r="B41" t="s">
        <v>415</v>
      </c>
      <c r="C41" t="s">
        <v>146</v>
      </c>
      <c r="D41" t="s">
        <v>63</v>
      </c>
      <c r="E41">
        <v>2000</v>
      </c>
    </row>
    <row r="42" spans="1:5">
      <c r="A42" s="1" t="s">
        <v>110</v>
      </c>
      <c r="B42" t="s">
        <v>416</v>
      </c>
      <c r="C42" t="s">
        <v>16</v>
      </c>
      <c r="D42" t="s">
        <v>63</v>
      </c>
      <c r="E42">
        <v>1000</v>
      </c>
    </row>
    <row r="43" spans="1:5">
      <c r="A43" s="1" t="s">
        <v>111</v>
      </c>
      <c r="B43" t="s">
        <v>417</v>
      </c>
      <c r="C43" t="s">
        <v>14</v>
      </c>
      <c r="D43" t="s">
        <v>64</v>
      </c>
      <c r="E43">
        <v>270</v>
      </c>
    </row>
    <row r="44" spans="1:5">
      <c r="A44" s="1" t="s">
        <v>112</v>
      </c>
      <c r="B44" t="s">
        <v>418</v>
      </c>
      <c r="C44" t="s">
        <v>147</v>
      </c>
      <c r="D44" t="s">
        <v>64</v>
      </c>
      <c r="E44">
        <v>80</v>
      </c>
    </row>
    <row r="45" spans="1:5">
      <c r="A45" s="1" t="s">
        <v>113</v>
      </c>
      <c r="B45" t="s">
        <v>419</v>
      </c>
      <c r="C45" t="s">
        <v>148</v>
      </c>
      <c r="D45" t="s">
        <v>64</v>
      </c>
      <c r="E45">
        <v>640</v>
      </c>
    </row>
    <row r="46" spans="1:5">
      <c r="A46" s="1" t="s">
        <v>114</v>
      </c>
      <c r="B46" t="s">
        <v>420</v>
      </c>
      <c r="C46" t="s">
        <v>149</v>
      </c>
      <c r="D46" t="s">
        <v>64</v>
      </c>
      <c r="E46">
        <v>293</v>
      </c>
    </row>
    <row r="47" spans="1:5">
      <c r="A47" s="1" t="s">
        <v>115</v>
      </c>
      <c r="B47" t="s">
        <v>421</v>
      </c>
      <c r="C47" t="s">
        <v>150</v>
      </c>
      <c r="D47" t="s">
        <v>65</v>
      </c>
      <c r="E47">
        <v>270</v>
      </c>
    </row>
    <row r="48" spans="1:5">
      <c r="A48" s="1" t="s">
        <v>116</v>
      </c>
      <c r="B48" t="s">
        <v>422</v>
      </c>
      <c r="C48" t="s">
        <v>19</v>
      </c>
      <c r="D48" t="s">
        <v>63</v>
      </c>
      <c r="E48">
        <v>1000</v>
      </c>
    </row>
    <row r="49" spans="1:5">
      <c r="A49" s="1" t="s">
        <v>117</v>
      </c>
      <c r="B49" t="s">
        <v>423</v>
      </c>
      <c r="C49" t="s">
        <v>151</v>
      </c>
      <c r="D49" t="s">
        <v>65</v>
      </c>
      <c r="E49">
        <v>640</v>
      </c>
    </row>
    <row r="50" spans="1:5">
      <c r="A50" s="1" t="s">
        <v>118</v>
      </c>
      <c r="B50" t="s">
        <v>424</v>
      </c>
      <c r="C50" t="s">
        <v>152</v>
      </c>
      <c r="D50" t="s">
        <v>65</v>
      </c>
      <c r="E50">
        <v>2000</v>
      </c>
    </row>
    <row r="51" spans="1:5">
      <c r="A51" s="1" t="s">
        <v>119</v>
      </c>
      <c r="B51" t="s">
        <v>425</v>
      </c>
      <c r="C51" t="s">
        <v>153</v>
      </c>
      <c r="D51" t="s">
        <v>65</v>
      </c>
      <c r="E51">
        <v>270</v>
      </c>
    </row>
    <row r="52" spans="1:5">
      <c r="A52" s="1" t="s">
        <v>245</v>
      </c>
      <c r="B52" t="s">
        <v>426</v>
      </c>
      <c r="C52" t="s">
        <v>154</v>
      </c>
      <c r="D52" t="s">
        <v>65</v>
      </c>
      <c r="E52">
        <v>2000</v>
      </c>
    </row>
    <row r="53" spans="1:5">
      <c r="A53" s="1" t="s">
        <v>246</v>
      </c>
      <c r="B53" t="s">
        <v>427</v>
      </c>
      <c r="C53" t="s">
        <v>155</v>
      </c>
      <c r="D53" t="s">
        <v>64</v>
      </c>
      <c r="E53">
        <v>1000</v>
      </c>
    </row>
    <row r="54" spans="1:5">
      <c r="A54" s="1" t="s">
        <v>247</v>
      </c>
      <c r="B54" t="s">
        <v>428</v>
      </c>
      <c r="C54" t="s">
        <v>156</v>
      </c>
      <c r="D54" t="s">
        <v>64</v>
      </c>
      <c r="E54">
        <v>640</v>
      </c>
    </row>
    <row r="55" spans="1:5">
      <c r="A55" s="1" t="s">
        <v>248</v>
      </c>
      <c r="B55" t="s">
        <v>429</v>
      </c>
      <c r="C55" t="s">
        <v>157</v>
      </c>
      <c r="D55" t="s">
        <v>63</v>
      </c>
      <c r="E55">
        <v>640</v>
      </c>
    </row>
    <row r="56" spans="1:5">
      <c r="A56" s="1" t="s">
        <v>249</v>
      </c>
      <c r="B56" t="s">
        <v>430</v>
      </c>
      <c r="C56" t="s">
        <v>53</v>
      </c>
      <c r="D56" t="s">
        <v>63</v>
      </c>
      <c r="E56">
        <v>270</v>
      </c>
    </row>
    <row r="57" spans="1:5">
      <c r="A57" s="1" t="s">
        <v>250</v>
      </c>
      <c r="B57" t="s">
        <v>431</v>
      </c>
      <c r="C57" t="s">
        <v>158</v>
      </c>
      <c r="D57" t="s">
        <v>64</v>
      </c>
      <c r="E57">
        <v>640</v>
      </c>
    </row>
    <row r="58" spans="1:5">
      <c r="A58" s="1" t="s">
        <v>251</v>
      </c>
      <c r="B58" t="s">
        <v>432</v>
      </c>
      <c r="C58" t="s">
        <v>159</v>
      </c>
      <c r="D58" t="s">
        <v>64</v>
      </c>
      <c r="E58">
        <v>300</v>
      </c>
    </row>
    <row r="59" spans="1:5">
      <c r="A59" s="1" t="s">
        <v>252</v>
      </c>
      <c r="B59" t="s">
        <v>433</v>
      </c>
      <c r="C59" t="s">
        <v>17</v>
      </c>
      <c r="D59" t="s">
        <v>64</v>
      </c>
      <c r="E59">
        <v>640</v>
      </c>
    </row>
    <row r="60" spans="1:5">
      <c r="A60" s="1" t="s">
        <v>253</v>
      </c>
      <c r="B60" t="s">
        <v>434</v>
      </c>
      <c r="C60" t="s">
        <v>11</v>
      </c>
      <c r="D60" t="s">
        <v>64</v>
      </c>
      <c r="E60">
        <v>640</v>
      </c>
    </row>
    <row r="61" spans="1:5">
      <c r="A61" s="1" t="s">
        <v>254</v>
      </c>
      <c r="B61" t="s">
        <v>435</v>
      </c>
      <c r="C61" t="s">
        <v>160</v>
      </c>
      <c r="D61" t="s">
        <v>65</v>
      </c>
      <c r="E61">
        <v>1000</v>
      </c>
    </row>
    <row r="62" spans="1:5">
      <c r="A62" s="1" t="s">
        <v>255</v>
      </c>
      <c r="B62" t="s">
        <v>436</v>
      </c>
      <c r="C62" t="s">
        <v>161</v>
      </c>
      <c r="D62" t="s">
        <v>66</v>
      </c>
      <c r="E62">
        <v>2750</v>
      </c>
    </row>
    <row r="63" spans="1:5">
      <c r="A63" s="1" t="s">
        <v>256</v>
      </c>
      <c r="B63" t="s">
        <v>437</v>
      </c>
      <c r="C63" t="s">
        <v>162</v>
      </c>
      <c r="D63" t="s">
        <v>65</v>
      </c>
      <c r="E63">
        <v>1000</v>
      </c>
    </row>
    <row r="64" spans="1:5">
      <c r="A64" s="1" t="s">
        <v>257</v>
      </c>
      <c r="B64" t="s">
        <v>438</v>
      </c>
      <c r="C64" t="s">
        <v>163</v>
      </c>
      <c r="D64" t="s">
        <v>63</v>
      </c>
      <c r="E64">
        <v>640</v>
      </c>
    </row>
    <row r="65" spans="1:5">
      <c r="A65" s="1" t="s">
        <v>258</v>
      </c>
      <c r="B65" t="s">
        <v>439</v>
      </c>
      <c r="C65" t="s">
        <v>42</v>
      </c>
      <c r="D65" t="s">
        <v>63</v>
      </c>
      <c r="E65">
        <v>1000</v>
      </c>
    </row>
    <row r="66" spans="1:5">
      <c r="A66" s="1" t="s">
        <v>259</v>
      </c>
      <c r="B66" t="s">
        <v>440</v>
      </c>
      <c r="C66" t="s">
        <v>25</v>
      </c>
      <c r="D66" t="s">
        <v>65</v>
      </c>
      <c r="E66">
        <v>50</v>
      </c>
    </row>
    <row r="67" spans="1:5">
      <c r="A67" s="1" t="s">
        <v>260</v>
      </c>
      <c r="B67" t="s">
        <v>441</v>
      </c>
      <c r="C67" t="s">
        <v>164</v>
      </c>
      <c r="D67" t="s">
        <v>65</v>
      </c>
      <c r="E67">
        <v>640</v>
      </c>
    </row>
    <row r="68" spans="1:5">
      <c r="A68" s="1" t="s">
        <v>261</v>
      </c>
      <c r="B68" t="s">
        <v>442</v>
      </c>
      <c r="C68" t="s">
        <v>165</v>
      </c>
      <c r="D68" t="s">
        <v>64</v>
      </c>
      <c r="E68">
        <v>1000</v>
      </c>
    </row>
    <row r="69" spans="1:5">
      <c r="A69" s="1" t="s">
        <v>262</v>
      </c>
      <c r="B69" t="s">
        <v>443</v>
      </c>
      <c r="C69" t="s">
        <v>166</v>
      </c>
      <c r="D69" t="s">
        <v>65</v>
      </c>
      <c r="E69">
        <v>2000</v>
      </c>
    </row>
    <row r="70" spans="1:5">
      <c r="A70" s="1" t="s">
        <v>263</v>
      </c>
      <c r="B70" t="s">
        <v>444</v>
      </c>
      <c r="C70" t="s">
        <v>167</v>
      </c>
      <c r="D70" t="s">
        <v>65</v>
      </c>
      <c r="E70">
        <v>3000</v>
      </c>
    </row>
    <row r="71" spans="1:5">
      <c r="A71" s="1" t="s">
        <v>264</v>
      </c>
      <c r="B71" t="s">
        <v>445</v>
      </c>
      <c r="C71" t="s">
        <v>3</v>
      </c>
      <c r="D71" t="s">
        <v>64</v>
      </c>
      <c r="E71">
        <v>640</v>
      </c>
    </row>
    <row r="72" spans="1:5">
      <c r="A72" s="1" t="s">
        <v>265</v>
      </c>
      <c r="B72" t="s">
        <v>446</v>
      </c>
      <c r="C72" t="s">
        <v>45</v>
      </c>
      <c r="D72" t="s">
        <v>63</v>
      </c>
      <c r="E72">
        <v>2000</v>
      </c>
    </row>
    <row r="73" spans="1:5">
      <c r="A73" s="1" t="s">
        <v>266</v>
      </c>
      <c r="B73" t="s">
        <v>447</v>
      </c>
      <c r="C73" t="s">
        <v>168</v>
      </c>
      <c r="D73" t="s">
        <v>63</v>
      </c>
      <c r="E73">
        <v>270</v>
      </c>
    </row>
    <row r="74" spans="1:5">
      <c r="A74" s="1" t="s">
        <v>267</v>
      </c>
      <c r="B74" t="s">
        <v>448</v>
      </c>
      <c r="C74" t="s">
        <v>169</v>
      </c>
      <c r="D74" t="s">
        <v>64</v>
      </c>
      <c r="E74">
        <v>1000</v>
      </c>
    </row>
    <row r="75" spans="1:5">
      <c r="A75" s="1" t="s">
        <v>268</v>
      </c>
      <c r="B75" t="s">
        <v>449</v>
      </c>
      <c r="C75" t="s">
        <v>170</v>
      </c>
      <c r="D75" t="s">
        <v>64</v>
      </c>
      <c r="E75">
        <v>300</v>
      </c>
    </row>
    <row r="76" spans="1:5">
      <c r="A76" s="1" t="s">
        <v>269</v>
      </c>
      <c r="B76" t="s">
        <v>450</v>
      </c>
      <c r="C76" t="s">
        <v>171</v>
      </c>
      <c r="D76" t="s">
        <v>63</v>
      </c>
      <c r="E76">
        <v>1000</v>
      </c>
    </row>
    <row r="77" spans="1:5">
      <c r="A77" s="1" t="s">
        <v>270</v>
      </c>
      <c r="B77" t="s">
        <v>451</v>
      </c>
      <c r="C77" t="s">
        <v>172</v>
      </c>
      <c r="D77" t="s">
        <v>63</v>
      </c>
      <c r="E77">
        <v>700</v>
      </c>
    </row>
    <row r="78" spans="1:5">
      <c r="A78" s="1" t="s">
        <v>271</v>
      </c>
      <c r="B78" t="s">
        <v>452</v>
      </c>
      <c r="C78" t="s">
        <v>12</v>
      </c>
      <c r="D78" t="s">
        <v>63</v>
      </c>
      <c r="E78">
        <v>2000</v>
      </c>
    </row>
    <row r="79" spans="1:5">
      <c r="A79" s="1" t="s">
        <v>272</v>
      </c>
      <c r="B79" t="s">
        <v>453</v>
      </c>
      <c r="C79" t="s">
        <v>173</v>
      </c>
      <c r="D79" t="s">
        <v>64</v>
      </c>
      <c r="E79">
        <v>640</v>
      </c>
    </row>
    <row r="80" spans="1:5">
      <c r="A80" s="1" t="s">
        <v>273</v>
      </c>
      <c r="B80" t="s">
        <v>454</v>
      </c>
      <c r="C80" t="s">
        <v>174</v>
      </c>
      <c r="D80" t="s">
        <v>63</v>
      </c>
      <c r="E80">
        <v>542</v>
      </c>
    </row>
    <row r="81" spans="1:5">
      <c r="A81" s="1" t="s">
        <v>274</v>
      </c>
      <c r="B81" t="s">
        <v>455</v>
      </c>
      <c r="C81" t="s">
        <v>175</v>
      </c>
      <c r="D81" t="s">
        <v>64</v>
      </c>
      <c r="E81">
        <v>640</v>
      </c>
    </row>
    <row r="82" spans="1:5">
      <c r="A82" s="1" t="s">
        <v>275</v>
      </c>
      <c r="B82" t="s">
        <v>456</v>
      </c>
      <c r="C82" t="s">
        <v>176</v>
      </c>
      <c r="D82" t="s">
        <v>64</v>
      </c>
      <c r="E82">
        <v>640</v>
      </c>
    </row>
    <row r="83" spans="1:5">
      <c r="A83" s="1" t="s">
        <v>276</v>
      </c>
      <c r="B83" t="s">
        <v>457</v>
      </c>
      <c r="C83" t="s">
        <v>32</v>
      </c>
      <c r="D83" t="s">
        <v>63</v>
      </c>
      <c r="E83">
        <v>1000</v>
      </c>
    </row>
    <row r="84" spans="1:5">
      <c r="A84" s="1" t="s">
        <v>277</v>
      </c>
      <c r="B84" t="s">
        <v>458</v>
      </c>
      <c r="C84" t="s">
        <v>177</v>
      </c>
      <c r="D84" t="s">
        <v>63</v>
      </c>
      <c r="E84">
        <v>1000</v>
      </c>
    </row>
    <row r="85" spans="1:5">
      <c r="A85" s="1" t="s">
        <v>278</v>
      </c>
      <c r="B85" t="s">
        <v>459</v>
      </c>
      <c r="C85" t="s">
        <v>178</v>
      </c>
      <c r="D85" t="s">
        <v>63</v>
      </c>
      <c r="E85">
        <v>1000</v>
      </c>
    </row>
    <row r="86" spans="1:5">
      <c r="A86" s="1" t="s">
        <v>279</v>
      </c>
      <c r="B86" t="s">
        <v>460</v>
      </c>
      <c r="C86" t="s">
        <v>41</v>
      </c>
      <c r="D86" t="s">
        <v>63</v>
      </c>
      <c r="E86">
        <v>2000</v>
      </c>
    </row>
    <row r="87" spans="1:5">
      <c r="A87" s="1" t="s">
        <v>280</v>
      </c>
      <c r="B87" t="s">
        <v>461</v>
      </c>
      <c r="C87" t="s">
        <v>179</v>
      </c>
      <c r="D87" t="s">
        <v>66</v>
      </c>
      <c r="E87">
        <v>10000</v>
      </c>
    </row>
    <row r="88" spans="1:5">
      <c r="A88" s="1" t="s">
        <v>281</v>
      </c>
      <c r="B88" t="s">
        <v>463</v>
      </c>
      <c r="C88" t="s">
        <v>46</v>
      </c>
      <c r="D88" t="s">
        <v>66</v>
      </c>
      <c r="E88">
        <v>5000</v>
      </c>
    </row>
    <row r="89" spans="1:5">
      <c r="A89" s="1" t="s">
        <v>282</v>
      </c>
      <c r="B89" t="s">
        <v>462</v>
      </c>
      <c r="C89" t="s">
        <v>54</v>
      </c>
      <c r="D89" t="s">
        <v>65</v>
      </c>
      <c r="E89">
        <v>640</v>
      </c>
    </row>
    <row r="90" spans="1:5">
      <c r="A90" s="1" t="s">
        <v>283</v>
      </c>
      <c r="B90" t="s">
        <v>464</v>
      </c>
      <c r="C90" t="s">
        <v>180</v>
      </c>
      <c r="D90" t="s">
        <v>64</v>
      </c>
      <c r="E90">
        <v>2000</v>
      </c>
    </row>
    <row r="91" spans="1:5">
      <c r="A91" s="1" t="s">
        <v>284</v>
      </c>
      <c r="B91" t="s">
        <v>465</v>
      </c>
      <c r="C91" t="s">
        <v>181</v>
      </c>
      <c r="D91" t="s">
        <v>63</v>
      </c>
      <c r="E91">
        <v>700</v>
      </c>
    </row>
    <row r="92" spans="1:5">
      <c r="A92" s="1" t="s">
        <v>285</v>
      </c>
      <c r="B92" t="s">
        <v>466</v>
      </c>
      <c r="C92" t="s">
        <v>182</v>
      </c>
      <c r="D92" t="s">
        <v>64</v>
      </c>
      <c r="E92">
        <v>300</v>
      </c>
    </row>
    <row r="93" spans="1:5">
      <c r="A93" s="1" t="s">
        <v>286</v>
      </c>
      <c r="B93" t="s">
        <v>467</v>
      </c>
      <c r="C93" t="s">
        <v>183</v>
      </c>
      <c r="D93" t="s">
        <v>66</v>
      </c>
      <c r="E93">
        <v>5500</v>
      </c>
    </row>
    <row r="94" spans="1:5">
      <c r="A94" s="1" t="s">
        <v>287</v>
      </c>
      <c r="B94" t="s">
        <v>468</v>
      </c>
      <c r="C94" t="s">
        <v>5</v>
      </c>
      <c r="D94" t="s">
        <v>63</v>
      </c>
      <c r="E94">
        <v>2000</v>
      </c>
    </row>
    <row r="95" spans="1:5">
      <c r="A95" s="1" t="s">
        <v>288</v>
      </c>
      <c r="B95" t="s">
        <v>469</v>
      </c>
      <c r="C95" t="s">
        <v>184</v>
      </c>
      <c r="D95" t="s">
        <v>63</v>
      </c>
      <c r="E95">
        <v>700</v>
      </c>
    </row>
    <row r="96" spans="1:5">
      <c r="A96" s="1" t="s">
        <v>289</v>
      </c>
      <c r="B96" t="s">
        <v>470</v>
      </c>
      <c r="C96" t="s">
        <v>185</v>
      </c>
      <c r="D96" t="s">
        <v>64</v>
      </c>
      <c r="E96">
        <v>270</v>
      </c>
    </row>
    <row r="97" spans="1:5">
      <c r="A97" s="1" t="s">
        <v>290</v>
      </c>
      <c r="B97" t="s">
        <v>471</v>
      </c>
      <c r="C97" t="s">
        <v>24</v>
      </c>
      <c r="D97" t="s">
        <v>65</v>
      </c>
      <c r="E97">
        <v>75</v>
      </c>
    </row>
    <row r="98" spans="1:5">
      <c r="A98" s="1" t="s">
        <v>291</v>
      </c>
      <c r="B98" t="s">
        <v>472</v>
      </c>
      <c r="C98" t="s">
        <v>186</v>
      </c>
      <c r="D98" t="s">
        <v>66</v>
      </c>
      <c r="E98">
        <v>3000</v>
      </c>
    </row>
    <row r="99" spans="1:5">
      <c r="A99" s="1" t="s">
        <v>292</v>
      </c>
      <c r="B99" t="s">
        <v>473</v>
      </c>
      <c r="C99" t="s">
        <v>187</v>
      </c>
      <c r="D99" t="s">
        <v>63</v>
      </c>
      <c r="E99">
        <v>500</v>
      </c>
    </row>
    <row r="100" spans="1:5">
      <c r="A100" s="1" t="s">
        <v>293</v>
      </c>
      <c r="B100" t="s">
        <v>474</v>
      </c>
      <c r="C100" t="s">
        <v>49</v>
      </c>
      <c r="D100" t="s">
        <v>63</v>
      </c>
      <c r="E100">
        <v>1000</v>
      </c>
    </row>
    <row r="101" spans="1:5">
      <c r="A101" s="1" t="s">
        <v>294</v>
      </c>
      <c r="B101" t="s">
        <v>475</v>
      </c>
      <c r="C101" t="s">
        <v>59</v>
      </c>
      <c r="D101" t="s">
        <v>64</v>
      </c>
      <c r="E101">
        <v>1000</v>
      </c>
    </row>
    <row r="102" spans="1:5">
      <c r="A102" s="1" t="s">
        <v>295</v>
      </c>
      <c r="B102" t="s">
        <v>476</v>
      </c>
      <c r="C102" t="s">
        <v>188</v>
      </c>
      <c r="D102" t="s">
        <v>63</v>
      </c>
      <c r="E102">
        <v>3000</v>
      </c>
    </row>
    <row r="103" spans="1:5">
      <c r="A103" s="1" t="s">
        <v>296</v>
      </c>
      <c r="B103" t="s">
        <v>477</v>
      </c>
      <c r="C103" t="s">
        <v>189</v>
      </c>
      <c r="D103" t="s">
        <v>63</v>
      </c>
      <c r="E103">
        <v>5000</v>
      </c>
    </row>
    <row r="104" spans="1:5">
      <c r="A104" s="1" t="s">
        <v>297</v>
      </c>
      <c r="B104" t="s">
        <v>478</v>
      </c>
      <c r="C104" t="s">
        <v>190</v>
      </c>
      <c r="D104" t="s">
        <v>64</v>
      </c>
      <c r="E104">
        <v>80</v>
      </c>
    </row>
    <row r="105" spans="1:5">
      <c r="A105" s="1" t="s">
        <v>298</v>
      </c>
      <c r="B105" t="s">
        <v>479</v>
      </c>
      <c r="C105" t="s">
        <v>191</v>
      </c>
      <c r="D105" t="s">
        <v>64</v>
      </c>
      <c r="E105">
        <v>300</v>
      </c>
    </row>
    <row r="106" spans="1:5">
      <c r="A106" s="1" t="s">
        <v>299</v>
      </c>
      <c r="B106" t="s">
        <v>480</v>
      </c>
      <c r="C106" t="s">
        <v>57</v>
      </c>
      <c r="D106" t="s">
        <v>65</v>
      </c>
      <c r="E106">
        <v>640</v>
      </c>
    </row>
    <row r="107" spans="1:5">
      <c r="A107" s="1" t="s">
        <v>300</v>
      </c>
      <c r="B107" t="s">
        <v>481</v>
      </c>
      <c r="C107" t="s">
        <v>192</v>
      </c>
      <c r="D107" t="s">
        <v>65</v>
      </c>
      <c r="E107">
        <v>2000</v>
      </c>
    </row>
    <row r="108" spans="1:5">
      <c r="A108" s="1" t="s">
        <v>301</v>
      </c>
      <c r="B108" t="s">
        <v>482</v>
      </c>
      <c r="C108" t="s">
        <v>26</v>
      </c>
      <c r="D108" t="s">
        <v>65</v>
      </c>
      <c r="E108">
        <v>60</v>
      </c>
    </row>
    <row r="109" spans="1:5">
      <c r="A109" s="1" t="s">
        <v>302</v>
      </c>
      <c r="B109" t="s">
        <v>483</v>
      </c>
      <c r="C109" t="s">
        <v>193</v>
      </c>
      <c r="D109" t="s">
        <v>63</v>
      </c>
      <c r="E109">
        <v>5000</v>
      </c>
    </row>
    <row r="110" spans="1:5">
      <c r="A110" s="1" t="s">
        <v>303</v>
      </c>
      <c r="B110" t="s">
        <v>484</v>
      </c>
      <c r="C110" t="s">
        <v>194</v>
      </c>
      <c r="D110" t="s">
        <v>63</v>
      </c>
      <c r="E110">
        <v>1000</v>
      </c>
    </row>
    <row r="111" spans="1:5">
      <c r="A111" s="1" t="s">
        <v>304</v>
      </c>
      <c r="B111" t="s">
        <v>485</v>
      </c>
      <c r="C111" t="s">
        <v>15</v>
      </c>
      <c r="D111" t="s">
        <v>65</v>
      </c>
      <c r="E111">
        <v>640</v>
      </c>
    </row>
    <row r="112" spans="1:5">
      <c r="A112" s="1" t="s">
        <v>305</v>
      </c>
      <c r="B112" t="s">
        <v>486</v>
      </c>
      <c r="C112" t="s">
        <v>195</v>
      </c>
      <c r="D112" t="s">
        <v>63</v>
      </c>
      <c r="E112">
        <v>1000</v>
      </c>
    </row>
    <row r="113" spans="1:5">
      <c r="A113" s="1" t="s">
        <v>306</v>
      </c>
      <c r="B113" t="s">
        <v>487</v>
      </c>
      <c r="C113" t="s">
        <v>196</v>
      </c>
      <c r="D113" t="s">
        <v>64</v>
      </c>
      <c r="E113">
        <v>2000</v>
      </c>
    </row>
    <row r="114" spans="1:5">
      <c r="A114" s="1" t="s">
        <v>307</v>
      </c>
      <c r="B114" t="s">
        <v>488</v>
      </c>
      <c r="C114" t="s">
        <v>197</v>
      </c>
      <c r="D114" t="s">
        <v>64</v>
      </c>
      <c r="E114">
        <v>2000</v>
      </c>
    </row>
    <row r="115" spans="1:5">
      <c r="A115" s="1" t="s">
        <v>308</v>
      </c>
      <c r="B115" t="s">
        <v>489</v>
      </c>
      <c r="C115" t="s">
        <v>198</v>
      </c>
      <c r="D115" t="s">
        <v>63</v>
      </c>
      <c r="E115">
        <v>1000</v>
      </c>
    </row>
    <row r="116" spans="1:5">
      <c r="A116" s="1" t="s">
        <v>309</v>
      </c>
      <c r="B116" t="s">
        <v>490</v>
      </c>
      <c r="C116" t="s">
        <v>10</v>
      </c>
      <c r="D116" t="s">
        <v>63</v>
      </c>
      <c r="E116">
        <v>1000</v>
      </c>
    </row>
    <row r="117" spans="1:5">
      <c r="A117" s="1" t="s">
        <v>310</v>
      </c>
      <c r="B117" t="s">
        <v>491</v>
      </c>
      <c r="C117" t="s">
        <v>199</v>
      </c>
      <c r="D117" t="s">
        <v>66</v>
      </c>
      <c r="E117">
        <v>5500</v>
      </c>
    </row>
    <row r="118" spans="1:5">
      <c r="A118" s="1" t="s">
        <v>311</v>
      </c>
      <c r="B118" t="s">
        <v>492</v>
      </c>
      <c r="C118" t="s">
        <v>56</v>
      </c>
      <c r="D118" t="s">
        <v>65</v>
      </c>
      <c r="E118">
        <v>640</v>
      </c>
    </row>
    <row r="119" spans="1:5">
      <c r="A119" s="1" t="s">
        <v>312</v>
      </c>
      <c r="B119" t="s">
        <v>493</v>
      </c>
      <c r="C119" t="s">
        <v>200</v>
      </c>
      <c r="D119" t="s">
        <v>63</v>
      </c>
      <c r="E119">
        <v>500</v>
      </c>
    </row>
    <row r="120" spans="1:5">
      <c r="A120" s="1" t="s">
        <v>313</v>
      </c>
      <c r="B120" t="s">
        <v>494</v>
      </c>
      <c r="C120" t="s">
        <v>201</v>
      </c>
      <c r="D120" t="s">
        <v>63</v>
      </c>
      <c r="E120">
        <v>640</v>
      </c>
    </row>
    <row r="121" spans="1:5">
      <c r="A121" s="1" t="s">
        <v>314</v>
      </c>
      <c r="B121" t="s">
        <v>495</v>
      </c>
      <c r="C121" t="s">
        <v>202</v>
      </c>
      <c r="D121" t="s">
        <v>374</v>
      </c>
      <c r="E121">
        <v>13000</v>
      </c>
    </row>
    <row r="122" spans="1:5">
      <c r="A122" s="1" t="s">
        <v>315</v>
      </c>
      <c r="B122" t="s">
        <v>496</v>
      </c>
      <c r="C122" t="s">
        <v>203</v>
      </c>
      <c r="D122" t="s">
        <v>63</v>
      </c>
      <c r="E122">
        <v>1000</v>
      </c>
    </row>
    <row r="123" spans="1:5">
      <c r="A123" s="1" t="s">
        <v>316</v>
      </c>
      <c r="B123" t="s">
        <v>497</v>
      </c>
      <c r="C123" t="s">
        <v>204</v>
      </c>
      <c r="D123" t="s">
        <v>63</v>
      </c>
      <c r="E123">
        <v>5000</v>
      </c>
    </row>
    <row r="124" spans="1:5">
      <c r="A124" s="1" t="s">
        <v>317</v>
      </c>
      <c r="B124" t="s">
        <v>498</v>
      </c>
      <c r="C124" t="s">
        <v>205</v>
      </c>
      <c r="D124" t="s">
        <v>64</v>
      </c>
      <c r="E124">
        <v>1000</v>
      </c>
    </row>
    <row r="125" spans="1:5">
      <c r="A125" s="1" t="s">
        <v>318</v>
      </c>
      <c r="B125" t="s">
        <v>499</v>
      </c>
      <c r="C125" t="s">
        <v>206</v>
      </c>
      <c r="D125" t="s">
        <v>65</v>
      </c>
      <c r="E125">
        <v>1000</v>
      </c>
    </row>
    <row r="126" spans="1:5">
      <c r="A126" s="1" t="s">
        <v>319</v>
      </c>
      <c r="B126" t="s">
        <v>501</v>
      </c>
      <c r="C126" t="s">
        <v>207</v>
      </c>
      <c r="D126" t="s">
        <v>64</v>
      </c>
      <c r="E126">
        <v>1000</v>
      </c>
    </row>
    <row r="127" spans="1:5">
      <c r="A127" s="1" t="s">
        <v>320</v>
      </c>
      <c r="B127" t="s">
        <v>502</v>
      </c>
      <c r="C127" t="s">
        <v>208</v>
      </c>
      <c r="D127" t="s">
        <v>63</v>
      </c>
      <c r="E127">
        <v>2000</v>
      </c>
    </row>
    <row r="128" spans="1:5">
      <c r="A128" s="1" t="s">
        <v>321</v>
      </c>
      <c r="B128" t="s">
        <v>500</v>
      </c>
      <c r="C128" t="s">
        <v>43</v>
      </c>
      <c r="D128" t="s">
        <v>66</v>
      </c>
      <c r="E128">
        <v>5000</v>
      </c>
    </row>
    <row r="129" spans="1:5">
      <c r="A129" s="1" t="s">
        <v>322</v>
      </c>
      <c r="B129" t="s">
        <v>503</v>
      </c>
      <c r="C129" t="s">
        <v>209</v>
      </c>
      <c r="D129" t="s">
        <v>64</v>
      </c>
      <c r="E129">
        <v>640</v>
      </c>
    </row>
    <row r="130" spans="1:5">
      <c r="A130" s="1" t="s">
        <v>323</v>
      </c>
      <c r="B130" t="s">
        <v>504</v>
      </c>
      <c r="C130" t="s">
        <v>210</v>
      </c>
      <c r="D130" t="s">
        <v>63</v>
      </c>
      <c r="E130">
        <v>500</v>
      </c>
    </row>
    <row r="131" spans="1:5">
      <c r="A131" s="1" t="s">
        <v>324</v>
      </c>
      <c r="B131" t="s">
        <v>505</v>
      </c>
      <c r="C131" t="s">
        <v>211</v>
      </c>
      <c r="D131" t="s">
        <v>65</v>
      </c>
      <c r="E131">
        <v>2000</v>
      </c>
    </row>
    <row r="132" spans="1:5">
      <c r="A132" s="1" t="s">
        <v>325</v>
      </c>
      <c r="B132" t="s">
        <v>506</v>
      </c>
      <c r="C132" t="s">
        <v>212</v>
      </c>
      <c r="D132" t="s">
        <v>65</v>
      </c>
      <c r="E132">
        <v>1000</v>
      </c>
    </row>
    <row r="133" spans="1:5">
      <c r="A133" s="1" t="s">
        <v>326</v>
      </c>
      <c r="B133" t="s">
        <v>507</v>
      </c>
      <c r="C133" t="s">
        <v>213</v>
      </c>
      <c r="D133" t="s">
        <v>63</v>
      </c>
      <c r="E133">
        <v>1000</v>
      </c>
    </row>
    <row r="134" spans="1:5">
      <c r="A134" s="1" t="s">
        <v>327</v>
      </c>
      <c r="B134" t="s">
        <v>508</v>
      </c>
      <c r="C134" t="s">
        <v>28</v>
      </c>
      <c r="D134" t="s">
        <v>65</v>
      </c>
      <c r="E134">
        <v>50</v>
      </c>
    </row>
    <row r="135" spans="1:5">
      <c r="A135" s="1" t="s">
        <v>328</v>
      </c>
      <c r="B135" t="s">
        <v>509</v>
      </c>
      <c r="C135" t="s">
        <v>214</v>
      </c>
      <c r="D135" t="s">
        <v>63</v>
      </c>
      <c r="E135">
        <v>2000</v>
      </c>
    </row>
    <row r="136" spans="1:5">
      <c r="A136" s="1" t="s">
        <v>329</v>
      </c>
      <c r="B136" t="s">
        <v>510</v>
      </c>
      <c r="C136" t="s">
        <v>215</v>
      </c>
      <c r="D136" t="s">
        <v>375</v>
      </c>
      <c r="E136">
        <v>270</v>
      </c>
    </row>
    <row r="137" spans="1:5">
      <c r="A137" s="1" t="s">
        <v>330</v>
      </c>
      <c r="B137" t="s">
        <v>511</v>
      </c>
      <c r="C137" t="s">
        <v>216</v>
      </c>
      <c r="D137" t="s">
        <v>64</v>
      </c>
      <c r="E137">
        <v>640</v>
      </c>
    </row>
    <row r="138" spans="1:5">
      <c r="A138" s="1" t="s">
        <v>331</v>
      </c>
      <c r="B138" t="s">
        <v>512</v>
      </c>
      <c r="C138" t="s">
        <v>217</v>
      </c>
      <c r="D138" t="s">
        <v>64</v>
      </c>
      <c r="E138">
        <v>270</v>
      </c>
    </row>
    <row r="139" spans="1:5">
      <c r="A139" s="1" t="s">
        <v>332</v>
      </c>
      <c r="B139" t="s">
        <v>513</v>
      </c>
      <c r="C139" t="s">
        <v>218</v>
      </c>
      <c r="D139" t="s">
        <v>64</v>
      </c>
      <c r="E139">
        <v>640</v>
      </c>
    </row>
    <row r="140" spans="1:5">
      <c r="A140" s="1" t="s">
        <v>333</v>
      </c>
      <c r="B140" t="s">
        <v>515</v>
      </c>
      <c r="C140" t="s">
        <v>220</v>
      </c>
      <c r="D140" t="s">
        <v>63</v>
      </c>
      <c r="E140">
        <v>2000</v>
      </c>
    </row>
    <row r="141" spans="1:5">
      <c r="A141" s="1" t="s">
        <v>334</v>
      </c>
      <c r="B141" t="s">
        <v>514</v>
      </c>
      <c r="C141" t="s">
        <v>219</v>
      </c>
      <c r="D141" t="s">
        <v>64</v>
      </c>
      <c r="E141">
        <v>640</v>
      </c>
    </row>
    <row r="142" spans="1:5">
      <c r="A142" s="1" t="s">
        <v>335</v>
      </c>
      <c r="B142" t="s">
        <v>516</v>
      </c>
      <c r="C142" t="s">
        <v>221</v>
      </c>
      <c r="D142" t="s">
        <v>64</v>
      </c>
      <c r="E142">
        <v>640</v>
      </c>
    </row>
    <row r="143" spans="1:5">
      <c r="A143" s="1" t="s">
        <v>336</v>
      </c>
      <c r="B143" t="s">
        <v>517</v>
      </c>
      <c r="C143" t="s">
        <v>7</v>
      </c>
      <c r="D143" t="s">
        <v>63</v>
      </c>
      <c r="E143">
        <v>2000</v>
      </c>
    </row>
    <row r="144" spans="1:5">
      <c r="A144" s="1" t="s">
        <v>337</v>
      </c>
      <c r="B144" t="s">
        <v>518</v>
      </c>
      <c r="C144" t="s">
        <v>37</v>
      </c>
      <c r="D144" t="s">
        <v>63</v>
      </c>
      <c r="E144">
        <v>1000</v>
      </c>
    </row>
    <row r="145" spans="1:5">
      <c r="A145" s="1" t="s">
        <v>338</v>
      </c>
      <c r="B145" t="s">
        <v>519</v>
      </c>
      <c r="C145" t="s">
        <v>4</v>
      </c>
      <c r="D145" t="s">
        <v>63</v>
      </c>
      <c r="E145">
        <v>1000</v>
      </c>
    </row>
    <row r="146" spans="1:5">
      <c r="A146" s="1" t="s">
        <v>339</v>
      </c>
      <c r="B146" t="s">
        <v>520</v>
      </c>
      <c r="C146" t="s">
        <v>222</v>
      </c>
      <c r="D146" t="s">
        <v>64</v>
      </c>
      <c r="E146">
        <v>640</v>
      </c>
    </row>
    <row r="147" spans="1:5">
      <c r="A147" s="1" t="s">
        <v>340</v>
      </c>
      <c r="B147" t="s">
        <v>521</v>
      </c>
      <c r="C147" t="s">
        <v>223</v>
      </c>
      <c r="D147" t="s">
        <v>63</v>
      </c>
      <c r="E147">
        <v>500</v>
      </c>
    </row>
    <row r="148" spans="1:5">
      <c r="A148" s="1" t="s">
        <v>341</v>
      </c>
      <c r="B148" t="s">
        <v>522</v>
      </c>
      <c r="C148" t="s">
        <v>9</v>
      </c>
      <c r="D148" t="s">
        <v>63</v>
      </c>
      <c r="E148">
        <v>3000</v>
      </c>
    </row>
    <row r="149" spans="1:5">
      <c r="A149" s="1" t="s">
        <v>342</v>
      </c>
      <c r="B149" t="s">
        <v>523</v>
      </c>
      <c r="C149" t="s">
        <v>224</v>
      </c>
      <c r="D149" t="s">
        <v>65</v>
      </c>
      <c r="E149">
        <v>3000</v>
      </c>
    </row>
    <row r="150" spans="1:5">
      <c r="A150" s="1" t="s">
        <v>343</v>
      </c>
      <c r="B150" t="s">
        <v>524</v>
      </c>
      <c r="C150" t="s">
        <v>225</v>
      </c>
      <c r="D150" t="s">
        <v>64</v>
      </c>
      <c r="E150">
        <v>330</v>
      </c>
    </row>
    <row r="151" spans="1:5">
      <c r="A151" s="1" t="s">
        <v>344</v>
      </c>
      <c r="B151" t="s">
        <v>525</v>
      </c>
      <c r="C151" t="s">
        <v>20</v>
      </c>
      <c r="D151" t="s">
        <v>64</v>
      </c>
      <c r="E151">
        <v>2000</v>
      </c>
    </row>
    <row r="152" spans="1:5">
      <c r="A152" s="1" t="s">
        <v>345</v>
      </c>
      <c r="B152" t="s">
        <v>526</v>
      </c>
      <c r="C152" t="s">
        <v>226</v>
      </c>
      <c r="D152" t="s">
        <v>63</v>
      </c>
      <c r="E152">
        <v>500</v>
      </c>
    </row>
    <row r="153" spans="1:5">
      <c r="A153" s="1" t="s">
        <v>346</v>
      </c>
      <c r="B153" t="s">
        <v>528</v>
      </c>
      <c r="C153" t="s">
        <v>228</v>
      </c>
      <c r="D153" t="s">
        <v>64</v>
      </c>
      <c r="E153">
        <v>5000</v>
      </c>
    </row>
    <row r="154" spans="1:5">
      <c r="A154" s="1" t="s">
        <v>347</v>
      </c>
      <c r="B154" t="s">
        <v>527</v>
      </c>
      <c r="C154" t="s">
        <v>227</v>
      </c>
      <c r="D154" t="s">
        <v>63</v>
      </c>
      <c r="E154">
        <v>1000</v>
      </c>
    </row>
    <row r="155" spans="1:5">
      <c r="A155" s="1" t="s">
        <v>348</v>
      </c>
      <c r="B155" t="s">
        <v>529</v>
      </c>
      <c r="C155" t="s">
        <v>229</v>
      </c>
      <c r="D155" t="s">
        <v>65</v>
      </c>
      <c r="E155">
        <v>3000</v>
      </c>
    </row>
    <row r="156" spans="1:5">
      <c r="A156" s="1" t="s">
        <v>349</v>
      </c>
      <c r="B156" t="s">
        <v>530</v>
      </c>
      <c r="C156" t="s">
        <v>230</v>
      </c>
      <c r="D156" t="s">
        <v>64</v>
      </c>
      <c r="E156">
        <v>300</v>
      </c>
    </row>
    <row r="157" spans="1:5">
      <c r="A157" s="1" t="s">
        <v>350</v>
      </c>
      <c r="B157" t="s">
        <v>531</v>
      </c>
      <c r="C157" t="s">
        <v>39</v>
      </c>
      <c r="D157" t="s">
        <v>63</v>
      </c>
      <c r="E157">
        <v>2000</v>
      </c>
    </row>
    <row r="158" spans="1:5">
      <c r="A158" s="1" t="s">
        <v>351</v>
      </c>
      <c r="B158" t="s">
        <v>532</v>
      </c>
      <c r="C158" t="s">
        <v>13</v>
      </c>
      <c r="D158" t="s">
        <v>63</v>
      </c>
      <c r="E158">
        <v>700</v>
      </c>
    </row>
    <row r="159" spans="1:5">
      <c r="A159" s="1" t="s">
        <v>352</v>
      </c>
      <c r="B159" t="s">
        <v>533</v>
      </c>
      <c r="C159" t="s">
        <v>231</v>
      </c>
      <c r="D159" t="s">
        <v>63</v>
      </c>
      <c r="E159">
        <v>500</v>
      </c>
    </row>
    <row r="160" spans="1:5">
      <c r="A160" s="1" t="s">
        <v>353</v>
      </c>
      <c r="B160" t="s">
        <v>534</v>
      </c>
      <c r="C160" t="s">
        <v>232</v>
      </c>
      <c r="D160" t="s">
        <v>64</v>
      </c>
      <c r="E160">
        <v>640</v>
      </c>
    </row>
    <row r="161" spans="1:5">
      <c r="A161" s="1" t="s">
        <v>354</v>
      </c>
      <c r="B161" t="s">
        <v>535</v>
      </c>
      <c r="C161" t="s">
        <v>233</v>
      </c>
      <c r="D161" t="s">
        <v>64</v>
      </c>
      <c r="E161">
        <v>270</v>
      </c>
    </row>
    <row r="162" spans="1:5">
      <c r="A162" s="1" t="s">
        <v>355</v>
      </c>
      <c r="B162" t="s">
        <v>536</v>
      </c>
      <c r="C162" t="s">
        <v>234</v>
      </c>
      <c r="D162" t="s">
        <v>63</v>
      </c>
      <c r="E162">
        <v>1000</v>
      </c>
    </row>
    <row r="163" spans="1:5">
      <c r="A163" s="1" t="s">
        <v>356</v>
      </c>
      <c r="B163" t="s">
        <v>537</v>
      </c>
      <c r="C163" t="s">
        <v>18</v>
      </c>
      <c r="D163" t="s">
        <v>64</v>
      </c>
      <c r="E163">
        <v>640</v>
      </c>
    </row>
    <row r="164" spans="1:5">
      <c r="A164" s="1" t="s">
        <v>357</v>
      </c>
      <c r="B164" t="s">
        <v>538</v>
      </c>
      <c r="C164" t="s">
        <v>0</v>
      </c>
      <c r="D164" t="s">
        <v>63</v>
      </c>
      <c r="E164">
        <v>1000</v>
      </c>
    </row>
    <row r="165" spans="1:5">
      <c r="A165" s="1" t="s">
        <v>358</v>
      </c>
      <c r="B165" t="s">
        <v>540</v>
      </c>
      <c r="C165" t="s">
        <v>236</v>
      </c>
      <c r="D165" t="s">
        <v>63</v>
      </c>
      <c r="E165">
        <v>640</v>
      </c>
    </row>
    <row r="166" spans="1:5">
      <c r="A166" s="1" t="s">
        <v>359</v>
      </c>
      <c r="B166" t="s">
        <v>539</v>
      </c>
      <c r="C166" t="s">
        <v>235</v>
      </c>
      <c r="D166" t="s">
        <v>65</v>
      </c>
      <c r="E166">
        <v>1000</v>
      </c>
    </row>
    <row r="167" spans="1:5">
      <c r="A167" s="1" t="s">
        <v>360</v>
      </c>
      <c r="B167" t="s">
        <v>541</v>
      </c>
      <c r="C167" t="s">
        <v>237</v>
      </c>
      <c r="D167" t="s">
        <v>63</v>
      </c>
      <c r="E167">
        <v>2000</v>
      </c>
    </row>
    <row r="168" spans="1:5">
      <c r="A168" s="1" t="s">
        <v>361</v>
      </c>
      <c r="B168" t="s">
        <v>542</v>
      </c>
      <c r="C168" t="s">
        <v>238</v>
      </c>
      <c r="D168" t="s">
        <v>63</v>
      </c>
      <c r="E168">
        <v>2000</v>
      </c>
    </row>
    <row r="169" spans="1:5">
      <c r="A169" s="1" t="s">
        <v>362</v>
      </c>
      <c r="B169" t="s">
        <v>543</v>
      </c>
      <c r="C169" t="s">
        <v>239</v>
      </c>
      <c r="D169" t="s">
        <v>63</v>
      </c>
      <c r="E169">
        <v>3000</v>
      </c>
    </row>
    <row r="170" spans="1:5">
      <c r="A170" s="1" t="s">
        <v>363</v>
      </c>
      <c r="B170" t="s">
        <v>544</v>
      </c>
      <c r="C170" t="s">
        <v>60</v>
      </c>
      <c r="D170" t="s">
        <v>65</v>
      </c>
      <c r="E170">
        <v>2000</v>
      </c>
    </row>
    <row r="171" spans="1:5">
      <c r="A171" s="1" t="s">
        <v>364</v>
      </c>
      <c r="B171" t="s">
        <v>545</v>
      </c>
      <c r="C171" t="s">
        <v>240</v>
      </c>
      <c r="D171" t="s">
        <v>65</v>
      </c>
      <c r="E171">
        <v>270</v>
      </c>
    </row>
    <row r="172" spans="1:5">
      <c r="A172" s="1" t="s">
        <v>365</v>
      </c>
      <c r="B172" t="s">
        <v>546</v>
      </c>
      <c r="C172" t="s">
        <v>241</v>
      </c>
      <c r="D172" t="s">
        <v>63</v>
      </c>
      <c r="E172">
        <v>500</v>
      </c>
    </row>
    <row r="173" spans="1:5">
      <c r="A173" s="1" t="s">
        <v>366</v>
      </c>
      <c r="B173" t="s">
        <v>547</v>
      </c>
      <c r="C173" t="s">
        <v>6</v>
      </c>
      <c r="D173" t="s">
        <v>63</v>
      </c>
      <c r="E173">
        <v>1000</v>
      </c>
    </row>
    <row r="174" spans="1:5">
      <c r="A174" s="1" t="s">
        <v>367</v>
      </c>
      <c r="B174" t="s">
        <v>548</v>
      </c>
      <c r="C174" t="s">
        <v>242</v>
      </c>
      <c r="D174" t="s">
        <v>63</v>
      </c>
      <c r="E174">
        <v>1000</v>
      </c>
    </row>
    <row r="175" spans="1:5">
      <c r="A175" s="1" t="s">
        <v>368</v>
      </c>
      <c r="B175" t="s">
        <v>549</v>
      </c>
      <c r="C175" t="s">
        <v>243</v>
      </c>
      <c r="D175" t="s">
        <v>63</v>
      </c>
      <c r="E175">
        <v>1000</v>
      </c>
    </row>
    <row r="176" spans="1:5">
      <c r="A176" s="1" t="s">
        <v>369</v>
      </c>
      <c r="B176" t="s">
        <v>550</v>
      </c>
      <c r="C176" t="s">
        <v>244</v>
      </c>
      <c r="D176" t="s">
        <v>64</v>
      </c>
      <c r="E176">
        <v>200</v>
      </c>
    </row>
  </sheetData>
  <phoneticPr fontId="6"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AF61D-BFB5-4ACF-AF4C-4FF4315009CF}">
  <sheetPr>
    <tabColor theme="1" tint="0.499984740745262"/>
  </sheetPr>
  <dimension ref="A1:G183"/>
  <sheetViews>
    <sheetView workbookViewId="0">
      <selection activeCell="D73" sqref="D73"/>
    </sheetView>
  </sheetViews>
  <sheetFormatPr defaultRowHeight="15"/>
  <cols>
    <col min="1" max="1" width="10.42578125" customWidth="1"/>
    <col min="2" max="2" width="15.42578125" customWidth="1"/>
    <col min="3" max="3" width="13.140625" customWidth="1"/>
    <col min="4" max="4" width="16.28515625" customWidth="1"/>
    <col min="5" max="5" width="10.140625" bestFit="1" customWidth="1"/>
    <col min="6" max="7" width="32.5703125" bestFit="1" customWidth="1"/>
    <col min="9" max="9" width="32.5703125" bestFit="1" customWidth="1"/>
  </cols>
  <sheetData>
    <row r="1" spans="1:7">
      <c r="A1" t="s">
        <v>581</v>
      </c>
      <c r="B1" t="s">
        <v>370</v>
      </c>
      <c r="C1" t="s">
        <v>67</v>
      </c>
      <c r="D1" t="s">
        <v>582</v>
      </c>
      <c r="F1" t="s">
        <v>641</v>
      </c>
      <c r="G1" t="s">
        <v>643</v>
      </c>
    </row>
    <row r="2" spans="1:7">
      <c r="A2" t="s">
        <v>583</v>
      </c>
      <c r="B2" t="str">
        <f>_xlfn.XLOOKUP($F2,'03_Component'!$C:$C,'03_Component'!$B:$B)</f>
        <v>COMP-009</v>
      </c>
      <c r="C2" t="str">
        <f>_xlfn.XLOOKUP($G2,'01_Craftable'!$C:$C,'01_Craftable'!$B:$B)</f>
        <v>CRFT-001</v>
      </c>
      <c r="D2">
        <v>6</v>
      </c>
      <c r="F2" t="s">
        <v>36</v>
      </c>
      <c r="G2" t="s">
        <v>44</v>
      </c>
    </row>
    <row r="3" spans="1:7">
      <c r="A3" t="s">
        <v>584</v>
      </c>
      <c r="B3" t="str">
        <f>_xlfn.XLOOKUP($F3,'03_Component'!$C:$C,'03_Component'!$B:$B)</f>
        <v>COMP-035</v>
      </c>
      <c r="C3" t="str">
        <f>_xlfn.XLOOKUP($G3,'01_Craftable'!$C:$C,'01_Craftable'!$B:$B)</f>
        <v>CRFT-001</v>
      </c>
      <c r="D3">
        <v>50</v>
      </c>
      <c r="F3" t="s">
        <v>27</v>
      </c>
      <c r="G3" t="s">
        <v>44</v>
      </c>
    </row>
    <row r="4" spans="1:7">
      <c r="A4" t="s">
        <v>585</v>
      </c>
      <c r="B4" t="str">
        <f>_xlfn.XLOOKUP($F4,'03_Component'!$C:$C,'03_Component'!$B:$B)</f>
        <v>COMP-042</v>
      </c>
      <c r="C4" t="str">
        <f>_xlfn.XLOOKUP($G4,'01_Craftable'!$C:$C,'01_Craftable'!$B:$B)</f>
        <v>CRFT-001</v>
      </c>
      <c r="D4">
        <v>5</v>
      </c>
      <c r="F4" t="s">
        <v>14</v>
      </c>
      <c r="G4" t="s">
        <v>44</v>
      </c>
    </row>
    <row r="5" spans="1:7">
      <c r="A5" t="s">
        <v>586</v>
      </c>
      <c r="B5" t="str">
        <f>_xlfn.XLOOKUP($F5,'03_Component'!$C:$C,'03_Component'!$B:$B)</f>
        <v>COMP-064</v>
      </c>
      <c r="C5" t="str">
        <f>_xlfn.XLOOKUP($G5,'01_Craftable'!$C:$C,'01_Craftable'!$B:$B)</f>
        <v>CRFT-001</v>
      </c>
      <c r="D5">
        <v>5</v>
      </c>
      <c r="F5" t="s">
        <v>42</v>
      </c>
      <c r="G5" t="s">
        <v>44</v>
      </c>
    </row>
    <row r="6" spans="1:7">
      <c r="A6" t="s">
        <v>587</v>
      </c>
      <c r="B6" t="str">
        <f>_xlfn.XLOOKUP($F6,'03_Component'!$C:$C,'03_Component'!$B:$B)</f>
        <v>COMP-085</v>
      </c>
      <c r="C6" t="str">
        <f>_xlfn.XLOOKUP($G6,'01_Craftable'!$C:$C,'01_Craftable'!$B:$B)</f>
        <v>CRFT-001</v>
      </c>
      <c r="D6">
        <v>3</v>
      </c>
      <c r="F6" t="s">
        <v>41</v>
      </c>
      <c r="G6" t="s">
        <v>44</v>
      </c>
    </row>
    <row r="7" spans="1:7">
      <c r="A7" t="s">
        <v>588</v>
      </c>
      <c r="B7" t="str">
        <f>_xlfn.XLOOKUP($F7,'03_Component'!$C:$C,'03_Component'!$B:$B)</f>
        <v>COMP-110</v>
      </c>
      <c r="C7" t="str">
        <f>_xlfn.XLOOKUP($G7,'01_Craftable'!$C:$C,'01_Craftable'!$B:$B)</f>
        <v>CRFT-001</v>
      </c>
      <c r="D7">
        <v>5</v>
      </c>
      <c r="F7" t="s">
        <v>15</v>
      </c>
      <c r="G7" t="s">
        <v>44</v>
      </c>
    </row>
    <row r="8" spans="1:7">
      <c r="A8" t="s">
        <v>589</v>
      </c>
      <c r="B8" t="str">
        <f>_xlfn.XLOOKUP($F8,'03_Component'!$C:$C,'03_Component'!$B:$B)</f>
        <v>COMP-125</v>
      </c>
      <c r="C8" t="str">
        <f>_xlfn.XLOOKUP($G8,'01_Craftable'!$C:$C,'01_Craftable'!$B:$B)</f>
        <v>CRFT-001</v>
      </c>
      <c r="D8">
        <v>3</v>
      </c>
      <c r="F8" t="s">
        <v>43</v>
      </c>
      <c r="G8" t="s">
        <v>44</v>
      </c>
    </row>
    <row r="9" spans="1:7">
      <c r="A9" t="s">
        <v>590</v>
      </c>
      <c r="B9" t="str">
        <f>_xlfn.XLOOKUP($F9,'03_Component'!$C:$C,'03_Component'!$B:$B)</f>
        <v>COMP-157</v>
      </c>
      <c r="C9" t="str">
        <f>_xlfn.XLOOKUP($G9,'01_Craftable'!$C:$C,'01_Craftable'!$B:$B)</f>
        <v>CRFT-001</v>
      </c>
      <c r="D9">
        <v>3</v>
      </c>
      <c r="F9" t="s">
        <v>13</v>
      </c>
      <c r="G9" t="s">
        <v>44</v>
      </c>
    </row>
    <row r="10" spans="1:7">
      <c r="A10" t="s">
        <v>591</v>
      </c>
      <c r="B10" t="str">
        <f>_xlfn.XLOOKUP($F10,'03_Component'!$C:$C,'03_Component'!$B:$B)</f>
        <v>COMP-002</v>
      </c>
      <c r="C10" t="str">
        <f>_xlfn.XLOOKUP($G10,'01_Craftable'!$C:$C,'01_Craftable'!$B:$B)</f>
        <v>CRFT-002</v>
      </c>
      <c r="D10">
        <v>5</v>
      </c>
      <c r="F10" t="s">
        <v>33</v>
      </c>
      <c r="G10" t="s">
        <v>35</v>
      </c>
    </row>
    <row r="11" spans="1:7">
      <c r="A11" t="s">
        <v>592</v>
      </c>
      <c r="B11" t="str">
        <f>_xlfn.XLOOKUP($F11,'03_Component'!$C:$C,'03_Component'!$B:$B)</f>
        <v>COMP-019</v>
      </c>
      <c r="C11" t="str">
        <f>_xlfn.XLOOKUP($G11,'01_Craftable'!$C:$C,'01_Craftable'!$B:$B)</f>
        <v>CRFT-002</v>
      </c>
      <c r="D11">
        <v>6</v>
      </c>
      <c r="F11" t="s">
        <v>34</v>
      </c>
      <c r="G11" t="s">
        <v>35</v>
      </c>
    </row>
    <row r="12" spans="1:7">
      <c r="A12" t="s">
        <v>593</v>
      </c>
      <c r="B12" t="str">
        <f>_xlfn.XLOOKUP($F12,'03_Component'!$C:$C,'03_Component'!$B:$B)</f>
        <v>COMP-059</v>
      </c>
      <c r="C12" t="str">
        <f>_xlfn.XLOOKUP($G12,'01_Craftable'!$C:$C,'01_Craftable'!$B:$B)</f>
        <v>CRFT-002</v>
      </c>
      <c r="D12">
        <v>5</v>
      </c>
      <c r="F12" t="s">
        <v>11</v>
      </c>
      <c r="G12" t="s">
        <v>35</v>
      </c>
    </row>
    <row r="13" spans="1:7">
      <c r="A13" t="s">
        <v>594</v>
      </c>
      <c r="B13" t="str">
        <f>_xlfn.XLOOKUP($F13,'03_Component'!$C:$C,'03_Component'!$B:$B)</f>
        <v>COMP-065</v>
      </c>
      <c r="C13" t="str">
        <f>_xlfn.XLOOKUP($G13,'01_Craftable'!$C:$C,'01_Craftable'!$B:$B)</f>
        <v>CRFT-002</v>
      </c>
      <c r="D13">
        <v>30</v>
      </c>
      <c r="F13" t="s">
        <v>25</v>
      </c>
      <c r="G13" t="s">
        <v>35</v>
      </c>
    </row>
    <row r="14" spans="1:7">
      <c r="A14" t="s">
        <v>595</v>
      </c>
      <c r="B14" t="str">
        <f>_xlfn.XLOOKUP($F14,'03_Component'!$C:$C,'03_Component'!$B:$B)</f>
        <v>COMP-077</v>
      </c>
      <c r="C14" t="str">
        <f>_xlfn.XLOOKUP($G14,'01_Craftable'!$C:$C,'01_Craftable'!$B:$B)</f>
        <v>CRFT-002</v>
      </c>
      <c r="D14">
        <v>5</v>
      </c>
      <c r="F14" t="s">
        <v>12</v>
      </c>
      <c r="G14" t="s">
        <v>35</v>
      </c>
    </row>
    <row r="15" spans="1:7">
      <c r="A15" t="s">
        <v>596</v>
      </c>
      <c r="B15" t="str">
        <f>_xlfn.XLOOKUP($F15,'03_Component'!$C:$C,'03_Component'!$B:$B)</f>
        <v>COMP-082</v>
      </c>
      <c r="C15" t="str">
        <f>_xlfn.XLOOKUP($G15,'01_Craftable'!$C:$C,'01_Craftable'!$B:$B)</f>
        <v>CRFT-002</v>
      </c>
      <c r="D15">
        <v>3</v>
      </c>
      <c r="F15" t="s">
        <v>32</v>
      </c>
      <c r="G15" t="s">
        <v>35</v>
      </c>
    </row>
    <row r="16" spans="1:7">
      <c r="A16" t="s">
        <v>597</v>
      </c>
      <c r="B16" t="str">
        <f>_xlfn.XLOOKUP($F16,'03_Component'!$C:$C,'03_Component'!$B:$B)</f>
        <v>COMP-107</v>
      </c>
      <c r="C16" t="str">
        <f>_xlfn.XLOOKUP($G16,'01_Craftable'!$C:$C,'01_Craftable'!$B:$B)</f>
        <v>CRFT-002</v>
      </c>
      <c r="D16">
        <v>25</v>
      </c>
      <c r="F16" t="s">
        <v>26</v>
      </c>
      <c r="G16" t="s">
        <v>35</v>
      </c>
    </row>
    <row r="17" spans="1:7">
      <c r="A17" t="s">
        <v>598</v>
      </c>
      <c r="B17" t="str">
        <f>_xlfn.XLOOKUP($F17,'03_Component'!$C:$C,'03_Component'!$B:$B)</f>
        <v>COMP-115</v>
      </c>
      <c r="C17" t="str">
        <f>_xlfn.XLOOKUP($G17,'01_Craftable'!$C:$C,'01_Craftable'!$B:$B)</f>
        <v>CRFT-002</v>
      </c>
      <c r="D17">
        <v>3</v>
      </c>
      <c r="F17" t="s">
        <v>10</v>
      </c>
      <c r="G17" t="s">
        <v>35</v>
      </c>
    </row>
    <row r="18" spans="1:7">
      <c r="A18" t="s">
        <v>599</v>
      </c>
      <c r="B18" t="str">
        <f>_xlfn.XLOOKUP($F18,'03_Component'!$C:$C,'03_Component'!$B:$B)</f>
        <v>COMP-003</v>
      </c>
      <c r="C18" t="str">
        <f>_xlfn.XLOOKUP($G18,'01_Craftable'!$C:$C,'01_Craftable'!$B:$B)</f>
        <v>CRFT-003</v>
      </c>
      <c r="D18">
        <v>5</v>
      </c>
      <c r="F18" t="s">
        <v>8</v>
      </c>
      <c r="G18" t="s">
        <v>31</v>
      </c>
    </row>
    <row r="19" spans="1:7">
      <c r="A19" t="s">
        <v>600</v>
      </c>
      <c r="B19" t="str">
        <f>_xlfn.XLOOKUP($F19,'03_Component'!$C:$C,'03_Component'!$B:$B)</f>
        <v>COMP-093</v>
      </c>
      <c r="C19" t="str">
        <f>_xlfn.XLOOKUP($G19,'01_Craftable'!$C:$C,'01_Craftable'!$B:$B)</f>
        <v>CRFT-003</v>
      </c>
      <c r="D19">
        <v>5</v>
      </c>
      <c r="F19" t="s">
        <v>5</v>
      </c>
      <c r="G19" t="s">
        <v>31</v>
      </c>
    </row>
    <row r="20" spans="1:7">
      <c r="A20" t="s">
        <v>601</v>
      </c>
      <c r="B20" t="str">
        <f>_xlfn.XLOOKUP($F20,'03_Component'!$C:$C,'03_Component'!$B:$B)</f>
        <v>COMP-096</v>
      </c>
      <c r="C20" t="str">
        <f>_xlfn.XLOOKUP($G20,'01_Craftable'!$C:$C,'01_Craftable'!$B:$B)</f>
        <v>CRFT-003</v>
      </c>
      <c r="D20">
        <v>20</v>
      </c>
      <c r="F20" t="s">
        <v>24</v>
      </c>
      <c r="G20" t="s">
        <v>31</v>
      </c>
    </row>
    <row r="21" spans="1:7">
      <c r="A21" t="s">
        <v>602</v>
      </c>
      <c r="B21" t="str">
        <f>_xlfn.XLOOKUP($F21,'03_Component'!$C:$C,'03_Component'!$B:$B)</f>
        <v>COMP-133</v>
      </c>
      <c r="C21" t="str">
        <f>_xlfn.XLOOKUP($G21,'01_Craftable'!$C:$C,'01_Craftable'!$B:$B)</f>
        <v>CRFT-003</v>
      </c>
      <c r="D21">
        <v>30</v>
      </c>
      <c r="F21" t="s">
        <v>28</v>
      </c>
      <c r="G21" t="s">
        <v>31</v>
      </c>
    </row>
    <row r="22" spans="1:7">
      <c r="A22" t="s">
        <v>603</v>
      </c>
      <c r="B22" t="str">
        <f>_xlfn.XLOOKUP($F22,'03_Component'!$C:$C,'03_Component'!$B:$B)</f>
        <v>COMP-142</v>
      </c>
      <c r="C22" t="str">
        <f>_xlfn.XLOOKUP($G22,'01_Craftable'!$C:$C,'01_Craftable'!$B:$B)</f>
        <v>CRFT-003</v>
      </c>
      <c r="D22">
        <v>3</v>
      </c>
      <c r="F22" t="s">
        <v>7</v>
      </c>
      <c r="G22" t="s">
        <v>31</v>
      </c>
    </row>
    <row r="23" spans="1:7">
      <c r="A23" t="s">
        <v>604</v>
      </c>
      <c r="B23" t="str">
        <f>_xlfn.XLOOKUP($F23,'03_Component'!$C:$C,'03_Component'!$B:$B)</f>
        <v>COMP-144</v>
      </c>
      <c r="C23" t="str">
        <f>_xlfn.XLOOKUP($G23,'01_Craftable'!$C:$C,'01_Craftable'!$B:$B)</f>
        <v>CRFT-003</v>
      </c>
      <c r="D23">
        <v>3</v>
      </c>
      <c r="F23" t="s">
        <v>4</v>
      </c>
      <c r="G23" t="s">
        <v>31</v>
      </c>
    </row>
    <row r="24" spans="1:7">
      <c r="A24" t="s">
        <v>605</v>
      </c>
      <c r="B24" t="str">
        <f>_xlfn.XLOOKUP($F24,'03_Component'!$C:$C,'03_Component'!$B:$B)</f>
        <v>COMP-147</v>
      </c>
      <c r="C24" t="str">
        <f>_xlfn.XLOOKUP($G24,'01_Craftable'!$C:$C,'01_Craftable'!$B:$B)</f>
        <v>CRFT-003</v>
      </c>
      <c r="D24">
        <v>4</v>
      </c>
      <c r="F24" t="s">
        <v>9</v>
      </c>
      <c r="G24" t="s">
        <v>31</v>
      </c>
    </row>
    <row r="25" spans="1:7">
      <c r="A25" t="s">
        <v>606</v>
      </c>
      <c r="B25" t="str">
        <f>_xlfn.XLOOKUP($F25,'03_Component'!$C:$C,'03_Component'!$B:$B)</f>
        <v>COMP-172</v>
      </c>
      <c r="C25" t="str">
        <f>_xlfn.XLOOKUP($G25,'01_Craftable'!$C:$C,'01_Craftable'!$B:$B)</f>
        <v>CRFT-003</v>
      </c>
      <c r="D25">
        <v>8</v>
      </c>
      <c r="F25" t="s">
        <v>6</v>
      </c>
      <c r="G25" t="s">
        <v>31</v>
      </c>
    </row>
    <row r="26" spans="1:7">
      <c r="A26" t="s">
        <v>607</v>
      </c>
      <c r="B26" t="str">
        <f>_xlfn.XLOOKUP($F26,'03_Component'!$C:$C,'03_Component'!$B:$B)</f>
        <v>COMP-007</v>
      </c>
      <c r="C26" t="str">
        <f>_xlfn.XLOOKUP($G26,'01_Craftable'!$C:$C,'01_Craftable'!$B:$B)</f>
        <v>CRFT-004</v>
      </c>
      <c r="D26">
        <v>8</v>
      </c>
      <c r="F26" t="s">
        <v>38</v>
      </c>
      <c r="G26" t="s">
        <v>40</v>
      </c>
    </row>
    <row r="27" spans="1:7">
      <c r="A27" t="s">
        <v>608</v>
      </c>
      <c r="B27" t="str">
        <f>_xlfn.XLOOKUP($F27,'03_Component'!$C:$C,'03_Component'!$B:$B)</f>
        <v>COMP-009</v>
      </c>
      <c r="C27" t="str">
        <f>_xlfn.XLOOKUP($G27,'01_Craftable'!$C:$C,'01_Craftable'!$B:$B)</f>
        <v>CRFT-004</v>
      </c>
      <c r="D27">
        <v>6</v>
      </c>
      <c r="F27" t="s">
        <v>36</v>
      </c>
      <c r="G27" t="s">
        <v>40</v>
      </c>
    </row>
    <row r="28" spans="1:7">
      <c r="A28" t="s">
        <v>609</v>
      </c>
      <c r="B28" t="str">
        <f>_xlfn.XLOOKUP($F28,'03_Component'!$C:$C,'03_Component'!$B:$B)</f>
        <v>COMP-041</v>
      </c>
      <c r="C28" t="str">
        <f>_xlfn.XLOOKUP($G28,'01_Craftable'!$C:$C,'01_Craftable'!$B:$B)</f>
        <v>CRFT-004</v>
      </c>
      <c r="D28">
        <v>2</v>
      </c>
      <c r="F28" t="s">
        <v>16</v>
      </c>
      <c r="G28" t="s">
        <v>40</v>
      </c>
    </row>
    <row r="29" spans="1:7">
      <c r="A29" t="s">
        <v>610</v>
      </c>
      <c r="B29" t="str">
        <f>_xlfn.XLOOKUP($F29,'03_Component'!$C:$C,'03_Component'!$B:$B)</f>
        <v>COMP-058</v>
      </c>
      <c r="C29" t="str">
        <f>_xlfn.XLOOKUP($G29,'01_Craftable'!$C:$C,'01_Craftable'!$B:$B)</f>
        <v>CRFT-004</v>
      </c>
      <c r="D29">
        <v>5</v>
      </c>
      <c r="F29" t="s">
        <v>17</v>
      </c>
      <c r="G29" t="s">
        <v>40</v>
      </c>
    </row>
    <row r="30" spans="1:7">
      <c r="A30" t="s">
        <v>611</v>
      </c>
      <c r="B30" t="str">
        <f>_xlfn.XLOOKUP($F30,'03_Component'!$C:$C,'03_Component'!$B:$B)</f>
        <v>COMP-065</v>
      </c>
      <c r="C30" t="str">
        <f>_xlfn.XLOOKUP($G30,'01_Craftable'!$C:$C,'01_Craftable'!$B:$B)</f>
        <v>CRFT-004</v>
      </c>
      <c r="D30">
        <v>50</v>
      </c>
      <c r="F30" t="s">
        <v>25</v>
      </c>
      <c r="G30" t="s">
        <v>40</v>
      </c>
    </row>
    <row r="31" spans="1:7">
      <c r="A31" t="s">
        <v>612</v>
      </c>
      <c r="B31" t="str">
        <f>_xlfn.XLOOKUP($F31,'03_Component'!$C:$C,'03_Component'!$B:$B)</f>
        <v>COMP-143</v>
      </c>
      <c r="C31" t="str">
        <f>_xlfn.XLOOKUP($G31,'01_Craftable'!$C:$C,'01_Craftable'!$B:$B)</f>
        <v>CRFT-004</v>
      </c>
      <c r="D31">
        <v>3</v>
      </c>
      <c r="F31" t="s">
        <v>37</v>
      </c>
      <c r="G31" t="s">
        <v>40</v>
      </c>
    </row>
    <row r="32" spans="1:7">
      <c r="A32" t="s">
        <v>613</v>
      </c>
      <c r="B32" t="str">
        <f>_xlfn.XLOOKUP($F32,'03_Component'!$C:$C,'03_Component'!$B:$B)</f>
        <v>COMP-156</v>
      </c>
      <c r="C32" t="str">
        <f>_xlfn.XLOOKUP($G32,'01_Craftable'!$C:$C,'01_Craftable'!$B:$B)</f>
        <v>CRFT-004</v>
      </c>
      <c r="D32">
        <v>5</v>
      </c>
      <c r="F32" t="s">
        <v>39</v>
      </c>
      <c r="G32" t="s">
        <v>40</v>
      </c>
    </row>
    <row r="33" spans="1:7">
      <c r="A33" t="s">
        <v>614</v>
      </c>
      <c r="B33" t="str">
        <f>_xlfn.XLOOKUP($F33,'03_Component'!$C:$C,'03_Component'!$B:$B)</f>
        <v>COMP-162</v>
      </c>
      <c r="C33" t="str">
        <f>_xlfn.XLOOKUP($G33,'01_Craftable'!$C:$C,'01_Craftable'!$B:$B)</f>
        <v>CRFT-004</v>
      </c>
      <c r="D33">
        <v>8</v>
      </c>
      <c r="F33" t="s">
        <v>18</v>
      </c>
      <c r="G33" t="s">
        <v>40</v>
      </c>
    </row>
    <row r="34" spans="1:7">
      <c r="A34" t="s">
        <v>615</v>
      </c>
      <c r="B34" t="str">
        <f>_xlfn.XLOOKUP($F34,'03_Component'!$C:$C,'03_Component'!$B:$B)</f>
        <v>COMP-010</v>
      </c>
      <c r="C34" t="str">
        <f>_xlfn.XLOOKUP($G34,'01_Craftable'!$C:$C,'01_Craftable'!$B:$B)</f>
        <v>CRFT-005</v>
      </c>
      <c r="D34">
        <v>10</v>
      </c>
      <c r="F34" t="s">
        <v>50</v>
      </c>
      <c r="G34" t="s">
        <v>52</v>
      </c>
    </row>
    <row r="35" spans="1:7">
      <c r="A35" t="s">
        <v>616</v>
      </c>
      <c r="B35" t="str">
        <f>_xlfn.XLOOKUP($F35,'03_Component'!$C:$C,'03_Component'!$B:$B)</f>
        <v>COMP-013</v>
      </c>
      <c r="C35" t="str">
        <f>_xlfn.XLOOKUP($G35,'01_Craftable'!$C:$C,'01_Craftable'!$B:$B)</f>
        <v>CRFT-005</v>
      </c>
      <c r="D35">
        <v>5</v>
      </c>
      <c r="F35" t="s">
        <v>1</v>
      </c>
      <c r="G35" t="s">
        <v>52</v>
      </c>
    </row>
    <row r="36" spans="1:7">
      <c r="A36" t="s">
        <v>617</v>
      </c>
      <c r="B36" t="str">
        <f>_xlfn.XLOOKUP($F36,'03_Component'!$C:$C,'03_Component'!$B:$B)</f>
        <v>COMP-015</v>
      </c>
      <c r="C36" t="str">
        <f>_xlfn.XLOOKUP($G36,'01_Craftable'!$C:$C,'01_Craftable'!$B:$B)</f>
        <v>CRFT-005</v>
      </c>
      <c r="D36">
        <v>5</v>
      </c>
      <c r="F36" t="s">
        <v>48</v>
      </c>
      <c r="G36" t="s">
        <v>52</v>
      </c>
    </row>
    <row r="37" spans="1:7">
      <c r="A37" t="s">
        <v>618</v>
      </c>
      <c r="B37" t="str">
        <f>_xlfn.XLOOKUP($F37,'03_Component'!$C:$C,'03_Component'!$B:$B)</f>
        <v>COMP-024</v>
      </c>
      <c r="C37" t="str">
        <f>_xlfn.XLOOKUP($G37,'01_Craftable'!$C:$C,'01_Craftable'!$B:$B)</f>
        <v>CRFT-005</v>
      </c>
      <c r="D37">
        <v>6</v>
      </c>
      <c r="F37" t="s">
        <v>51</v>
      </c>
      <c r="G37" t="s">
        <v>52</v>
      </c>
    </row>
    <row r="38" spans="1:7">
      <c r="A38" t="s">
        <v>619</v>
      </c>
      <c r="B38" t="str">
        <f>_xlfn.XLOOKUP($F38,'03_Component'!$C:$C,'03_Component'!$B:$B)</f>
        <v>COMP-070</v>
      </c>
      <c r="C38" t="str">
        <f>_xlfn.XLOOKUP($G38,'01_Craftable'!$C:$C,'01_Craftable'!$B:$B)</f>
        <v>CRFT-005</v>
      </c>
      <c r="D38">
        <v>8</v>
      </c>
      <c r="F38" t="s">
        <v>3</v>
      </c>
      <c r="G38" t="s">
        <v>52</v>
      </c>
    </row>
    <row r="39" spans="1:7">
      <c r="A39" t="s">
        <v>620</v>
      </c>
      <c r="B39" t="str">
        <f>_xlfn.XLOOKUP($F39,'03_Component'!$C:$C,'03_Component'!$B:$B)</f>
        <v>COMP-096</v>
      </c>
      <c r="C39" t="str">
        <f>_xlfn.XLOOKUP($G39,'01_Craftable'!$C:$C,'01_Craftable'!$B:$B)</f>
        <v>CRFT-005</v>
      </c>
      <c r="D39">
        <v>60</v>
      </c>
      <c r="F39" t="s">
        <v>24</v>
      </c>
      <c r="G39" t="s">
        <v>52</v>
      </c>
    </row>
    <row r="40" spans="1:7">
      <c r="A40" t="s">
        <v>621</v>
      </c>
      <c r="B40" t="str">
        <f>_xlfn.XLOOKUP($F40,'03_Component'!$C:$C,'03_Component'!$B:$B)</f>
        <v>COMP-099</v>
      </c>
      <c r="C40" t="str">
        <f>_xlfn.XLOOKUP($G40,'01_Craftable'!$C:$C,'01_Craftable'!$B:$B)</f>
        <v>CRFT-005</v>
      </c>
      <c r="D40">
        <v>3</v>
      </c>
      <c r="F40" t="s">
        <v>49</v>
      </c>
      <c r="G40" t="s">
        <v>52</v>
      </c>
    </row>
    <row r="41" spans="1:7">
      <c r="A41" t="s">
        <v>622</v>
      </c>
      <c r="B41" t="str">
        <f>_xlfn.XLOOKUP($F41,'03_Component'!$C:$C,'03_Component'!$B:$B)</f>
        <v>COMP-163</v>
      </c>
      <c r="C41" t="str">
        <f>_xlfn.XLOOKUP($G41,'01_Craftable'!$C:$C,'01_Craftable'!$B:$B)</f>
        <v>CRFT-005</v>
      </c>
      <c r="D41">
        <v>3</v>
      </c>
      <c r="F41" t="s">
        <v>0</v>
      </c>
      <c r="G41" t="s">
        <v>52</v>
      </c>
    </row>
    <row r="42" spans="1:7">
      <c r="A42" t="s">
        <v>623</v>
      </c>
      <c r="B42" t="str">
        <f>_xlfn.XLOOKUP($F42,'03_Component'!$C:$C,'03_Component'!$B:$B)</f>
        <v>COMP-008</v>
      </c>
      <c r="C42" t="str">
        <f>_xlfn.XLOOKUP($G42,'01_Craftable'!$C:$C,'01_Craftable'!$B:$B)</f>
        <v>CRFT-006</v>
      </c>
      <c r="D42">
        <v>3</v>
      </c>
      <c r="F42" t="s">
        <v>55</v>
      </c>
      <c r="G42" t="s">
        <v>61</v>
      </c>
    </row>
    <row r="43" spans="1:7">
      <c r="A43" t="s">
        <v>624</v>
      </c>
      <c r="B43" t="str">
        <f>_xlfn.XLOOKUP($F43,'03_Component'!$C:$C,'03_Component'!$B:$B)</f>
        <v>COMP-008</v>
      </c>
      <c r="C43" t="str">
        <f>_xlfn.XLOOKUP($G43,'01_Craftable'!$C:$C,'01_Craftable'!$B:$B)</f>
        <v>CRFT-006</v>
      </c>
      <c r="D43">
        <v>12</v>
      </c>
      <c r="F43" t="s">
        <v>55</v>
      </c>
      <c r="G43" t="s">
        <v>61</v>
      </c>
    </row>
    <row r="44" spans="1:7">
      <c r="A44" t="s">
        <v>625</v>
      </c>
      <c r="B44" t="str">
        <f>_xlfn.XLOOKUP($F44,'03_Component'!$C:$C,'03_Component'!$B:$B)</f>
        <v>COMP-034</v>
      </c>
      <c r="C44" t="str">
        <f>_xlfn.XLOOKUP($G44,'01_Craftable'!$C:$C,'01_Craftable'!$B:$B)</f>
        <v>CRFT-006</v>
      </c>
      <c r="D44">
        <v>1</v>
      </c>
      <c r="F44" t="s">
        <v>58</v>
      </c>
      <c r="G44" t="s">
        <v>61</v>
      </c>
    </row>
    <row r="45" spans="1:7">
      <c r="A45" t="s">
        <v>626</v>
      </c>
      <c r="B45" t="str">
        <f>_xlfn.XLOOKUP($F45,'03_Component'!$C:$C,'03_Component'!$B:$B)</f>
        <v>COMP-055</v>
      </c>
      <c r="C45" t="str">
        <f>_xlfn.XLOOKUP($G45,'01_Craftable'!$C:$C,'01_Craftable'!$B:$B)</f>
        <v>CRFT-006</v>
      </c>
      <c r="D45">
        <v>1</v>
      </c>
      <c r="F45" t="s">
        <v>53</v>
      </c>
      <c r="G45" t="s">
        <v>61</v>
      </c>
    </row>
    <row r="46" spans="1:7">
      <c r="A46" t="s">
        <v>627</v>
      </c>
      <c r="B46" t="str">
        <f>_xlfn.XLOOKUP($F46,'03_Component'!$C:$C,'03_Component'!$B:$B)</f>
        <v>COMP-087</v>
      </c>
      <c r="C46" t="str">
        <f>_xlfn.XLOOKUP($G46,'01_Craftable'!$C:$C,'01_Craftable'!$B:$B)</f>
        <v>CRFT-006</v>
      </c>
      <c r="D46">
        <v>3</v>
      </c>
      <c r="F46" t="s">
        <v>54</v>
      </c>
      <c r="G46" t="s">
        <v>61</v>
      </c>
    </row>
    <row r="47" spans="1:7">
      <c r="A47" t="s">
        <v>628</v>
      </c>
      <c r="B47" t="str">
        <f>_xlfn.XLOOKUP($F47,'03_Component'!$C:$C,'03_Component'!$B:$B)</f>
        <v>COMP-100</v>
      </c>
      <c r="C47" t="str">
        <f>_xlfn.XLOOKUP($G47,'01_Craftable'!$C:$C,'01_Craftable'!$B:$B)</f>
        <v>CRFT-006</v>
      </c>
      <c r="D47">
        <v>12</v>
      </c>
      <c r="F47" t="s">
        <v>59</v>
      </c>
      <c r="G47" t="s">
        <v>61</v>
      </c>
    </row>
    <row r="48" spans="1:7">
      <c r="A48" t="s">
        <v>629</v>
      </c>
      <c r="B48" t="str">
        <f>_xlfn.XLOOKUP($F48,'03_Component'!$C:$C,'03_Component'!$B:$B)</f>
        <v>COMP-105</v>
      </c>
      <c r="C48" t="str">
        <f>_xlfn.XLOOKUP($G48,'01_Craftable'!$C:$C,'01_Craftable'!$B:$B)</f>
        <v>CRFT-006</v>
      </c>
      <c r="D48">
        <v>6</v>
      </c>
      <c r="F48" t="s">
        <v>57</v>
      </c>
      <c r="G48" t="s">
        <v>61</v>
      </c>
    </row>
    <row r="49" spans="1:7">
      <c r="A49" t="s">
        <v>630</v>
      </c>
      <c r="B49" t="str">
        <f>_xlfn.XLOOKUP($F49,'03_Component'!$C:$C,'03_Component'!$B:$B)</f>
        <v>COMP-117</v>
      </c>
      <c r="C49" t="str">
        <f>_xlfn.XLOOKUP($G49,'01_Craftable'!$C:$C,'01_Craftable'!$B:$B)</f>
        <v>CRFT-006</v>
      </c>
      <c r="D49">
        <v>6</v>
      </c>
      <c r="F49" t="s">
        <v>56</v>
      </c>
      <c r="G49" t="s">
        <v>61</v>
      </c>
    </row>
    <row r="50" spans="1:7">
      <c r="A50" t="s">
        <v>631</v>
      </c>
      <c r="B50" t="str">
        <f>_xlfn.XLOOKUP($F50,'03_Component'!$C:$C,'03_Component'!$B:$B)</f>
        <v>COMP-169</v>
      </c>
      <c r="C50" t="str">
        <f>_xlfn.XLOOKUP($G50,'01_Craftable'!$C:$C,'01_Craftable'!$B:$B)</f>
        <v>CRFT-006</v>
      </c>
      <c r="D50">
        <v>3</v>
      </c>
      <c r="F50" t="s">
        <v>60</v>
      </c>
      <c r="G50" t="s">
        <v>61</v>
      </c>
    </row>
    <row r="51" spans="1:7">
      <c r="A51" t="s">
        <v>632</v>
      </c>
      <c r="B51" t="str">
        <f>_xlfn.XLOOKUP($F51,'03_Component'!$C:$C,'03_Component'!$B:$B)</f>
        <v>COMP-002</v>
      </c>
      <c r="C51" t="str">
        <f>_xlfn.XLOOKUP($G51,'01_Craftable'!$C:$C,'01_Craftable'!$B:$B)</f>
        <v>CRFT-007</v>
      </c>
      <c r="D51">
        <v>5</v>
      </c>
      <c r="F51" t="s">
        <v>33</v>
      </c>
      <c r="G51" t="s">
        <v>47</v>
      </c>
    </row>
    <row r="52" spans="1:7">
      <c r="A52" t="s">
        <v>633</v>
      </c>
      <c r="B52" t="str">
        <f>_xlfn.XLOOKUP($F52,'03_Component'!$C:$C,'03_Component'!$B:$B)</f>
        <v>COMP-009</v>
      </c>
      <c r="C52" t="str">
        <f>_xlfn.XLOOKUP($G52,'01_Craftable'!$C:$C,'01_Craftable'!$B:$B)</f>
        <v>CRFT-007</v>
      </c>
      <c r="D52">
        <v>6</v>
      </c>
      <c r="F52" t="s">
        <v>36</v>
      </c>
      <c r="G52" t="s">
        <v>47</v>
      </c>
    </row>
    <row r="53" spans="1:7">
      <c r="A53" t="s">
        <v>634</v>
      </c>
      <c r="B53" t="str">
        <f>_xlfn.XLOOKUP($F53,'03_Component'!$C:$C,'03_Component'!$B:$B)</f>
        <v>COMP-047</v>
      </c>
      <c r="C53" t="str">
        <f>_xlfn.XLOOKUP($G53,'01_Craftable'!$C:$C,'01_Craftable'!$B:$B)</f>
        <v>CRFT-007</v>
      </c>
      <c r="D53">
        <v>2</v>
      </c>
      <c r="F53" t="s">
        <v>19</v>
      </c>
      <c r="G53" t="s">
        <v>47</v>
      </c>
    </row>
    <row r="54" spans="1:7">
      <c r="A54" t="s">
        <v>635</v>
      </c>
      <c r="B54" t="str">
        <f>_xlfn.XLOOKUP($F54,'03_Component'!$C:$C,'03_Component'!$B:$B)</f>
        <v>COMP-059</v>
      </c>
      <c r="C54" t="str">
        <f>_xlfn.XLOOKUP($G54,'01_Craftable'!$C:$C,'01_Craftable'!$B:$B)</f>
        <v>CRFT-007</v>
      </c>
      <c r="D54">
        <v>5</v>
      </c>
      <c r="F54" t="s">
        <v>11</v>
      </c>
      <c r="G54" t="s">
        <v>47</v>
      </c>
    </row>
    <row r="55" spans="1:7">
      <c r="A55" t="s">
        <v>636</v>
      </c>
      <c r="B55" t="str">
        <f>_xlfn.XLOOKUP($F55,'03_Component'!$C:$C,'03_Component'!$B:$B)</f>
        <v>COMP-071</v>
      </c>
      <c r="C55" t="str">
        <f>_xlfn.XLOOKUP($G55,'01_Craftable'!$C:$C,'01_Craftable'!$B:$B)</f>
        <v>CRFT-007</v>
      </c>
      <c r="D55">
        <v>3</v>
      </c>
      <c r="F55" t="s">
        <v>45</v>
      </c>
      <c r="G55" t="s">
        <v>47</v>
      </c>
    </row>
    <row r="56" spans="1:7">
      <c r="A56" t="s">
        <v>637</v>
      </c>
      <c r="B56" t="str">
        <f>_xlfn.XLOOKUP($F56,'03_Component'!$C:$C,'03_Component'!$B:$B)</f>
        <v>COMP-088</v>
      </c>
      <c r="C56" t="str">
        <f>_xlfn.XLOOKUP($G56,'01_Craftable'!$C:$C,'01_Craftable'!$B:$B)</f>
        <v>CRFT-007</v>
      </c>
      <c r="D56">
        <v>4</v>
      </c>
      <c r="F56" t="s">
        <v>46</v>
      </c>
      <c r="G56" t="s">
        <v>47</v>
      </c>
    </row>
    <row r="57" spans="1:7">
      <c r="A57" t="s">
        <v>638</v>
      </c>
      <c r="B57" t="str">
        <f>_xlfn.XLOOKUP($F57,'03_Component'!$C:$C,'03_Component'!$B:$B)</f>
        <v>COMP-107</v>
      </c>
      <c r="C57" t="str">
        <f>_xlfn.XLOOKUP($G57,'01_Craftable'!$C:$C,'01_Craftable'!$B:$B)</f>
        <v>CRFT-007</v>
      </c>
      <c r="D57">
        <v>50</v>
      </c>
      <c r="F57" t="s">
        <v>26</v>
      </c>
      <c r="G57" t="s">
        <v>47</v>
      </c>
    </row>
    <row r="58" spans="1:7">
      <c r="A58" t="s">
        <v>639</v>
      </c>
      <c r="B58" t="str">
        <f>_xlfn.XLOOKUP($F58,'03_Component'!$C:$C,'03_Component'!$B:$B)</f>
        <v>COMP-150</v>
      </c>
      <c r="C58" t="str">
        <f>_xlfn.XLOOKUP($G58,'01_Craftable'!$C:$C,'01_Craftable'!$B:$B)</f>
        <v>CRFT-007</v>
      </c>
      <c r="D58">
        <v>6</v>
      </c>
      <c r="F58" t="s">
        <v>20</v>
      </c>
      <c r="G58" t="s">
        <v>47</v>
      </c>
    </row>
    <row r="59" spans="1:7">
      <c r="A59" t="str" cm="1">
        <f t="array" ref="A59">"USE-" &amp; TEXT(ROW()-ROW(tblComponentUsage[#Headers]),"000")</f>
        <v>USE-058</v>
      </c>
      <c r="B59" t="str">
        <f>_xlfn.XLOOKUP($F59,'03_Component'!$C:$C,'03_Component'!$B:$B)</f>
        <v>COMP-107</v>
      </c>
      <c r="C59" t="str">
        <f>_xlfn.XLOOKUP($G59,'01_Craftable'!$C:$C,'01_Craftable'!$B:$B)</f>
        <v>CRFT-008</v>
      </c>
      <c r="D59">
        <v>6</v>
      </c>
      <c r="F59" t="s">
        <v>26</v>
      </c>
      <c r="G59" t="s">
        <v>907</v>
      </c>
    </row>
    <row r="60" spans="1:7">
      <c r="A60" t="str" cm="1">
        <f t="array" ref="A60">"USE-" &amp; TEXT(ROW()-ROW(tblComponentUsage[#Headers]),"000")</f>
        <v>USE-059</v>
      </c>
      <c r="B60" t="str">
        <f>_xlfn.XLOOKUP($F60,'03_Component'!$C:$C,'03_Component'!$B:$B)</f>
        <v>COMP-133</v>
      </c>
      <c r="C60" t="str">
        <f>_xlfn.XLOOKUP($G60,'01_Craftable'!$C:$C,'01_Craftable'!$B:$B)</f>
        <v>CRFT-008</v>
      </c>
      <c r="D60">
        <v>6</v>
      </c>
      <c r="F60" t="s">
        <v>28</v>
      </c>
      <c r="G60" t="s">
        <v>907</v>
      </c>
    </row>
    <row r="61" spans="1:7">
      <c r="A61" t="str" cm="1">
        <f t="array" ref="A61">"USE-" &amp; TEXT(ROW()-ROW(tblComponentUsage[#Headers]),"000")</f>
        <v>USE-060</v>
      </c>
      <c r="B61" t="str">
        <f>_xlfn.XLOOKUP($F61,'03_Component'!$C:$C,'03_Component'!$B:$B)</f>
        <v>COMP-009</v>
      </c>
      <c r="C61" t="str">
        <f>_xlfn.XLOOKUP($G61,'01_Craftable'!$C:$C,'01_Craftable'!$B:$B)</f>
        <v>CRFT-009</v>
      </c>
      <c r="D61">
        <v>2</v>
      </c>
      <c r="F61" t="s">
        <v>36</v>
      </c>
      <c r="G61" t="s">
        <v>908</v>
      </c>
    </row>
    <row r="62" spans="1:7">
      <c r="A62" t="str" cm="1">
        <f t="array" ref="A62">"USE-" &amp; TEXT(ROW()-ROW(tblComponentUsage[#Headers]),"000")</f>
        <v>USE-061</v>
      </c>
      <c r="B62" t="str">
        <f>_xlfn.XLOOKUP($F62,'03_Component'!$C:$C,'03_Component'!$B:$B)</f>
        <v>COMP-107</v>
      </c>
      <c r="C62" t="str">
        <f>_xlfn.XLOOKUP($G62,'01_Craftable'!$C:$C,'01_Craftable'!$B:$B)</f>
        <v>CRFT-009</v>
      </c>
      <c r="D62">
        <v>4</v>
      </c>
      <c r="F62" t="s">
        <v>26</v>
      </c>
      <c r="G62" t="s">
        <v>908</v>
      </c>
    </row>
    <row r="63" spans="1:7">
      <c r="A63" t="str" cm="1">
        <f t="array" ref="A63">"USE-" &amp; TEXT(ROW()-ROW(tblComponentUsage[#Headers]),"000")</f>
        <v>USE-062</v>
      </c>
      <c r="B63" t="str">
        <f>_xlfn.XLOOKUP($F63,'03_Component'!$C:$C,'03_Component'!$B:$B)</f>
        <v>COMP-096</v>
      </c>
      <c r="C63" t="str">
        <f>_xlfn.XLOOKUP($G63,'01_Craftable'!$C:$C,'01_Craftable'!$B:$B)</f>
        <v>CRFT-010</v>
      </c>
      <c r="D63">
        <v>5</v>
      </c>
      <c r="F63" t="s">
        <v>24</v>
      </c>
      <c r="G63" t="s">
        <v>909</v>
      </c>
    </row>
    <row r="64" spans="1:7">
      <c r="A64" t="str" cm="1">
        <f t="array" ref="A64">"USE-" &amp; TEXT(ROW()-ROW(tblComponentUsage[#Headers]),"000")</f>
        <v>USE-063</v>
      </c>
      <c r="B64" t="str">
        <f>_xlfn.XLOOKUP($F64,'03_Component'!$C:$C,'03_Component'!$B:$B)</f>
        <v>COMP-133</v>
      </c>
      <c r="C64" t="str">
        <f>_xlfn.XLOOKUP($G64,'01_Craftable'!$C:$C,'01_Craftable'!$B:$B)</f>
        <v>CRFT-010</v>
      </c>
      <c r="D64">
        <v>2</v>
      </c>
      <c r="F64" t="s">
        <v>28</v>
      </c>
      <c r="G64" t="s">
        <v>909</v>
      </c>
    </row>
    <row r="65" spans="1:7">
      <c r="A65" t="str" cm="1">
        <f t="array" ref="A65">"USE-" &amp; TEXT(ROW()-ROW(tblComponentUsage[#Headers]),"000")</f>
        <v>USE-064</v>
      </c>
      <c r="B65" t="str">
        <f>_xlfn.XLOOKUP($F65,'03_Component'!$C:$C,'03_Component'!$B:$B)</f>
        <v>COMP-096</v>
      </c>
      <c r="C65" t="str">
        <f>_xlfn.XLOOKUP($G65,'01_Craftable'!$C:$C,'01_Craftable'!$B:$B)</f>
        <v>CRFT-011</v>
      </c>
      <c r="D65">
        <v>2</v>
      </c>
      <c r="F65" t="s">
        <v>24</v>
      </c>
      <c r="G65" t="s">
        <v>910</v>
      </c>
    </row>
    <row r="66" spans="1:7">
      <c r="A66" t="str" cm="1">
        <f t="array" ref="A66">"USE-" &amp; TEXT(ROW()-ROW(tblComponentUsage[#Headers]),"000")</f>
        <v>USE-065</v>
      </c>
      <c r="B66" t="str">
        <f>_xlfn.XLOOKUP($F66,'03_Component'!$C:$C,'03_Component'!$B:$B)</f>
        <v>COMP-107</v>
      </c>
      <c r="C66" t="str">
        <f>_xlfn.XLOOKUP($G66,'01_Craftable'!$C:$C,'01_Craftable'!$B:$B)</f>
        <v>CRFT-011</v>
      </c>
      <c r="D66">
        <v>5</v>
      </c>
      <c r="F66" t="s">
        <v>26</v>
      </c>
      <c r="G66" t="s">
        <v>910</v>
      </c>
    </row>
    <row r="67" spans="1:7">
      <c r="A67" t="str" cm="1">
        <f t="array" ref="A67">"USE-" &amp; TEXT(ROW()-ROW(tblComponentUsage[#Headers]),"000")</f>
        <v>USE-066</v>
      </c>
      <c r="B67" t="str">
        <f>_xlfn.XLOOKUP($F67,'03_Component'!$C:$C,'03_Component'!$B:$B)</f>
        <v>COMP-096</v>
      </c>
      <c r="C67" t="str">
        <f>_xlfn.XLOOKUP($G67,'01_Craftable'!$C:$C,'01_Craftable'!$B:$B)</f>
        <v>CRFT-012</v>
      </c>
      <c r="D67">
        <v>6</v>
      </c>
      <c r="F67" t="s">
        <v>24</v>
      </c>
      <c r="G67" t="s">
        <v>911</v>
      </c>
    </row>
    <row r="68" spans="1:7">
      <c r="A68" t="str" cm="1">
        <f t="array" ref="A68">"USE-" &amp; TEXT(ROW()-ROW(tblComponentUsage[#Headers]),"000")</f>
        <v>USE-067</v>
      </c>
      <c r="B68" t="str">
        <f>_xlfn.XLOOKUP($F68,'03_Component'!$C:$C,'03_Component'!$B:$B)</f>
        <v>COMP-133</v>
      </c>
      <c r="C68" t="str">
        <f>_xlfn.XLOOKUP($G68,'01_Craftable'!$C:$C,'01_Craftable'!$B:$B)</f>
        <v>CRFT-012</v>
      </c>
      <c r="D68">
        <v>8</v>
      </c>
      <c r="F68" t="s">
        <v>28</v>
      </c>
      <c r="G68" t="s">
        <v>911</v>
      </c>
    </row>
    <row r="69" spans="1:7">
      <c r="A69" t="str" cm="1">
        <f t="array" ref="A69">"USE-" &amp; TEXT(ROW()-ROW(tblComponentUsage[#Headers]),"000")</f>
        <v>USE-068</v>
      </c>
      <c r="B69" t="str">
        <f>_xlfn.XLOOKUP($F69,'03_Component'!$C:$C,'03_Component'!$B:$B)</f>
        <v>COMP-096</v>
      </c>
      <c r="C69" t="str">
        <f>_xlfn.XLOOKUP($G69,'01_Craftable'!$C:$C,'01_Craftable'!$B:$B)</f>
        <v>CRFT-013</v>
      </c>
      <c r="D69">
        <v>8</v>
      </c>
      <c r="F69" t="s">
        <v>24</v>
      </c>
      <c r="G69" t="s">
        <v>912</v>
      </c>
    </row>
    <row r="70" spans="1:7">
      <c r="A70" t="str" cm="1">
        <f t="array" ref="A70">"USE-" &amp; TEXT(ROW()-ROW(tblComponentUsage[#Headers]),"000")</f>
        <v>USE-069</v>
      </c>
      <c r="B70" t="str">
        <f>_xlfn.XLOOKUP($F70,'03_Component'!$C:$C,'03_Component'!$B:$B)</f>
        <v>COMP-133</v>
      </c>
      <c r="C70" t="str">
        <f>_xlfn.XLOOKUP($G70,'01_Craftable'!$C:$C,'01_Craftable'!$B:$B)</f>
        <v>CRFT-013</v>
      </c>
      <c r="D70">
        <v>4</v>
      </c>
      <c r="F70" t="s">
        <v>28</v>
      </c>
      <c r="G70" t="s">
        <v>912</v>
      </c>
    </row>
    <row r="71" spans="1:7">
      <c r="A71" t="str" cm="1">
        <f t="array" ref="A71">"USE-" &amp; TEXT(ROW()-ROW(tblComponentUsage[#Headers]),"000")</f>
        <v>USE-070</v>
      </c>
      <c r="B71" t="str">
        <f>_xlfn.XLOOKUP($F71,'03_Component'!$C:$C,'03_Component'!$B:$B)</f>
        <v>COMP-096</v>
      </c>
      <c r="C71" t="str">
        <f>_xlfn.XLOOKUP($G71,'01_Craftable'!$C:$C,'01_Craftable'!$B:$B)</f>
        <v>CRFT-014</v>
      </c>
      <c r="D71">
        <v>3</v>
      </c>
      <c r="F71" t="s">
        <v>24</v>
      </c>
      <c r="G71" t="s">
        <v>913</v>
      </c>
    </row>
    <row r="72" spans="1:7">
      <c r="A72" t="str" cm="1">
        <f t="array" ref="A72">"USE-" &amp; TEXT(ROW()-ROW(tblComponentUsage[#Headers]),"000")</f>
        <v>USE-071</v>
      </c>
      <c r="B72" t="str">
        <f>_xlfn.XLOOKUP($F72,'03_Component'!$C:$C,'03_Component'!$B:$B)</f>
        <v>COMP-035</v>
      </c>
      <c r="C72" t="str">
        <f>_xlfn.XLOOKUP($G72,'01_Craftable'!$C:$C,'01_Craftable'!$B:$B)</f>
        <v>CRFT-014</v>
      </c>
      <c r="D72">
        <v>2</v>
      </c>
      <c r="F72" t="s">
        <v>27</v>
      </c>
      <c r="G72" t="s">
        <v>913</v>
      </c>
    </row>
    <row r="73" spans="1:7">
      <c r="A73" t="str" cm="1">
        <f t="array" ref="A73">"USE-" &amp; TEXT(ROW()-ROW(tblComponentUsage[#Headers]),"000")</f>
        <v>USE-072</v>
      </c>
      <c r="B73" t="str">
        <f>_xlfn.XLOOKUP($F73,'03_Component'!$C:$C,'03_Component'!$B:$B)</f>
        <v>COMP-096</v>
      </c>
      <c r="C73" t="str">
        <f>_xlfn.XLOOKUP($G73,'01_Craftable'!$C:$C,'01_Craftable'!$B:$B)</f>
        <v>CRFT-015</v>
      </c>
      <c r="D73">
        <v>3</v>
      </c>
      <c r="F73" t="s">
        <v>24</v>
      </c>
      <c r="G73" t="s">
        <v>914</v>
      </c>
    </row>
    <row r="74" spans="1:7">
      <c r="A74" t="str" cm="1">
        <f t="array" ref="A74">"USE-" &amp; TEXT(ROW()-ROW(tblComponentUsage[#Headers]),"000")</f>
        <v>USE-073</v>
      </c>
      <c r="B74" t="str">
        <f>_xlfn.XLOOKUP($F74,'03_Component'!$C:$C,'03_Component'!$B:$B)</f>
        <v>COMP-035</v>
      </c>
      <c r="C74" t="str">
        <f>_xlfn.XLOOKUP($G74,'01_Craftable'!$C:$C,'01_Craftable'!$B:$B)</f>
        <v>CRFT-015</v>
      </c>
      <c r="D74">
        <v>2</v>
      </c>
      <c r="F74" t="s">
        <v>27</v>
      </c>
      <c r="G74" t="s">
        <v>914</v>
      </c>
    </row>
    <row r="75" spans="1:7">
      <c r="A75" t="str" cm="1">
        <f t="array" ref="A75">"USE-" &amp; TEXT(ROW()-ROW(tblComponentUsage[#Headers]),"000")</f>
        <v>USE-074</v>
      </c>
      <c r="B75" t="str">
        <f>_xlfn.XLOOKUP($F75,'03_Component'!$C:$C,'03_Component'!$B:$B)</f>
        <v>COMP-096</v>
      </c>
      <c r="C75" t="str">
        <f>_xlfn.XLOOKUP($G75,'01_Craftable'!$C:$C,'01_Craftable'!$B:$B)</f>
        <v>CRFT-016</v>
      </c>
      <c r="D75">
        <v>3</v>
      </c>
      <c r="F75" t="s">
        <v>24</v>
      </c>
      <c r="G75" t="s">
        <v>915</v>
      </c>
    </row>
    <row r="76" spans="1:7">
      <c r="A76" t="str" cm="1">
        <f t="array" ref="A76">"USE-" &amp; TEXT(ROW()-ROW(tblComponentUsage[#Headers]),"000")</f>
        <v>USE-075</v>
      </c>
      <c r="B76" t="str">
        <f>_xlfn.XLOOKUP($F76,'03_Component'!$C:$C,'03_Component'!$B:$B)</f>
        <v>COMP-035</v>
      </c>
      <c r="C76" t="str">
        <f>_xlfn.XLOOKUP($G76,'01_Craftable'!$C:$C,'01_Craftable'!$B:$B)</f>
        <v>CRFT-016</v>
      </c>
      <c r="D76">
        <v>2</v>
      </c>
      <c r="F76" t="s">
        <v>27</v>
      </c>
      <c r="G76" t="s">
        <v>915</v>
      </c>
    </row>
    <row r="77" spans="1:7">
      <c r="A77" t="str" cm="1">
        <f t="array" ref="A77">"USE-" &amp; TEXT(ROW()-ROW(tblComponentUsage[#Headers]),"000")</f>
        <v>USE-076</v>
      </c>
      <c r="B77" t="str">
        <f>_xlfn.XLOOKUP($F77,'03_Component'!$C:$C,'03_Component'!$B:$B)</f>
        <v>COMP-096</v>
      </c>
      <c r="C77" t="str">
        <f>_xlfn.XLOOKUP($G77,'01_Craftable'!$C:$C,'01_Craftable'!$B:$B)</f>
        <v>CRFT-017</v>
      </c>
      <c r="D77">
        <v>3</v>
      </c>
      <c r="F77" t="s">
        <v>24</v>
      </c>
      <c r="G77" t="s">
        <v>916</v>
      </c>
    </row>
    <row r="78" spans="1:7">
      <c r="A78" t="str" cm="1">
        <f t="array" ref="A78">"USE-" &amp; TEXT(ROW()-ROW(tblComponentUsage[#Headers]),"000")</f>
        <v>USE-077</v>
      </c>
      <c r="B78" t="str">
        <f>_xlfn.XLOOKUP($F78,'03_Component'!$C:$C,'03_Component'!$B:$B)</f>
        <v>COMP-035</v>
      </c>
      <c r="C78" t="str">
        <f>_xlfn.XLOOKUP($G78,'01_Craftable'!$C:$C,'01_Craftable'!$B:$B)</f>
        <v>CRFT-017</v>
      </c>
      <c r="D78">
        <v>2</v>
      </c>
      <c r="F78" t="s">
        <v>27</v>
      </c>
      <c r="G78" t="s">
        <v>916</v>
      </c>
    </row>
    <row r="79" spans="1:7">
      <c r="A79" t="str" cm="1">
        <f t="array" ref="A79">"USE-" &amp; TEXT(ROW()-ROW(tblComponentUsage[#Headers]),"000")</f>
        <v>USE-078</v>
      </c>
      <c r="B79" t="str">
        <f>_xlfn.XLOOKUP($F79,'03_Component'!$C:$C,'03_Component'!$B:$B)</f>
        <v>COMP-035</v>
      </c>
      <c r="C79" t="str">
        <f>_xlfn.XLOOKUP($G79,'01_Craftable'!$C:$C,'01_Craftable'!$B:$B)</f>
        <v>CRFT-018</v>
      </c>
      <c r="D79">
        <v>3</v>
      </c>
      <c r="F79" t="s">
        <v>27</v>
      </c>
      <c r="G79" t="s">
        <v>917</v>
      </c>
    </row>
    <row r="80" spans="1:7">
      <c r="A80" t="str" cm="1">
        <f t="array" ref="A80">"USE-" &amp; TEXT(ROW()-ROW(tblComponentUsage[#Headers]),"000")</f>
        <v>USE-079</v>
      </c>
      <c r="B80" t="str">
        <f>_xlfn.XLOOKUP($F80,'03_Component'!$C:$C,'03_Component'!$B:$B)</f>
        <v>COMP-107</v>
      </c>
      <c r="C80" t="str">
        <f>_xlfn.XLOOKUP($G80,'01_Craftable'!$C:$C,'01_Craftable'!$B:$B)</f>
        <v>CRFT-018</v>
      </c>
      <c r="D80">
        <v>2</v>
      </c>
      <c r="F80" t="s">
        <v>26</v>
      </c>
      <c r="G80" t="s">
        <v>917</v>
      </c>
    </row>
    <row r="81" spans="1:7">
      <c r="A81" t="str" cm="1">
        <f t="array" ref="A81">"USE-" &amp; TEXT(ROW()-ROW(tblComponentUsage[#Headers]),"000")</f>
        <v>USE-080</v>
      </c>
      <c r="B81" t="str">
        <f>_xlfn.XLOOKUP($F81,'03_Component'!$C:$C,'03_Component'!$B:$B)</f>
        <v>COMP-133</v>
      </c>
      <c r="C81" t="str">
        <f>_xlfn.XLOOKUP($G81,'01_Craftable'!$C:$C,'01_Craftable'!$B:$B)</f>
        <v>CRFT-019</v>
      </c>
      <c r="D81">
        <v>5</v>
      </c>
      <c r="F81" t="s">
        <v>28</v>
      </c>
      <c r="G81" t="s">
        <v>918</v>
      </c>
    </row>
    <row r="82" spans="1:7">
      <c r="A82" t="str" cm="1">
        <f t="array" ref="A82">"USE-" &amp; TEXT(ROW()-ROW(tblComponentUsage[#Headers]),"000")</f>
        <v>USE-081</v>
      </c>
      <c r="B82" t="str">
        <f>_xlfn.XLOOKUP($F82,'03_Component'!$C:$C,'03_Component'!$B:$B)</f>
        <v>COMP-015</v>
      </c>
      <c r="C82" t="str">
        <f>_xlfn.XLOOKUP($G82,'01_Craftable'!$C:$C,'01_Craftable'!$B:$B)</f>
        <v>CRFT-019</v>
      </c>
      <c r="D82">
        <v>1</v>
      </c>
      <c r="F82" t="s">
        <v>48</v>
      </c>
      <c r="G82" t="s">
        <v>918</v>
      </c>
    </row>
    <row r="83" spans="1:7">
      <c r="A83" t="str" cm="1">
        <f t="array" ref="A83">"USE-" &amp; TEXT(ROW()-ROW(tblComponentUsage[#Headers]),"000")</f>
        <v>USE-082</v>
      </c>
      <c r="B83" t="str">
        <f>_xlfn.XLOOKUP($F83,'03_Component'!$C:$C,'03_Component'!$B:$B)</f>
        <v>COMP-065</v>
      </c>
      <c r="C83" t="str">
        <f>_xlfn.XLOOKUP($G83,'01_Craftable'!$C:$C,'01_Craftable'!$B:$B)</f>
        <v>CRFT-020</v>
      </c>
      <c r="D83">
        <v>5</v>
      </c>
      <c r="F83" t="s">
        <v>25</v>
      </c>
      <c r="G83" t="s">
        <v>919</v>
      </c>
    </row>
    <row r="84" spans="1:7">
      <c r="A84" t="str" cm="1">
        <f t="array" ref="A84">"USE-" &amp; TEXT(ROW()-ROW(tblComponentUsage[#Headers]),"000")</f>
        <v>USE-083</v>
      </c>
      <c r="B84" t="str">
        <f>_xlfn.XLOOKUP($F84,'03_Component'!$C:$C,'03_Component'!$B:$B)</f>
        <v>COMP-093</v>
      </c>
      <c r="C84" t="str">
        <f>_xlfn.XLOOKUP($G84,'01_Craftable'!$C:$C,'01_Craftable'!$B:$B)</f>
        <v>CRFT-021</v>
      </c>
      <c r="D84">
        <v>6</v>
      </c>
      <c r="F84" t="s">
        <v>5</v>
      </c>
      <c r="G84" t="s">
        <v>920</v>
      </c>
    </row>
    <row r="85" spans="1:7">
      <c r="A85" t="str" cm="1">
        <f t="array" ref="A85">"USE-" &amp; TEXT(ROW()-ROW(tblComponentUsage[#Headers]),"000")</f>
        <v>USE-084</v>
      </c>
      <c r="B85" t="str">
        <f>_xlfn.XLOOKUP($F85,'03_Component'!$C:$C,'03_Component'!$B:$B)</f>
        <v>COMP-149</v>
      </c>
      <c r="C85" t="str">
        <f>_xlfn.XLOOKUP($G85,'01_Craftable'!$C:$C,'01_Craftable'!$B:$B)</f>
        <v>CRFT-021</v>
      </c>
      <c r="D85">
        <v>6</v>
      </c>
      <c r="F85" t="s">
        <v>225</v>
      </c>
      <c r="G85" t="s">
        <v>920</v>
      </c>
    </row>
    <row r="86" spans="1:7">
      <c r="A86" t="str" cm="1">
        <f t="array" ref="A86">"USE-" &amp; TEXT(ROW()-ROW(tblComponentUsage[#Headers]),"000")</f>
        <v>USE-085</v>
      </c>
      <c r="B86" t="str">
        <f>_xlfn.XLOOKUP($F86,'03_Component'!$C:$C,'03_Component'!$B:$B)</f>
        <v>COMP-096</v>
      </c>
      <c r="C86" t="str">
        <f>_xlfn.XLOOKUP($G86,'01_Craftable'!$C:$C,'01_Craftable'!$B:$B)</f>
        <v>CRFT-022</v>
      </c>
      <c r="D86">
        <v>16</v>
      </c>
      <c r="F86" t="s">
        <v>24</v>
      </c>
      <c r="G86" t="s">
        <v>921</v>
      </c>
    </row>
    <row r="87" spans="1:7">
      <c r="A87" t="str" cm="1">
        <f t="array" ref="A87">"USE-" &amp; TEXT(ROW()-ROW(tblComponentUsage[#Headers]),"000")</f>
        <v>USE-086</v>
      </c>
      <c r="B87" t="str">
        <f>_xlfn.XLOOKUP($F87,'03_Component'!$C:$C,'03_Component'!$B:$B)</f>
        <v>COMP-133</v>
      </c>
      <c r="C87" t="str">
        <f>_xlfn.XLOOKUP($G87,'01_Craftable'!$C:$C,'01_Craftable'!$B:$B)</f>
        <v>CRFT-022</v>
      </c>
      <c r="D87">
        <v>12</v>
      </c>
      <c r="F87" t="s">
        <v>28</v>
      </c>
      <c r="G87" t="s">
        <v>921</v>
      </c>
    </row>
    <row r="88" spans="1:7">
      <c r="A88" t="str" cm="1">
        <f t="array" ref="A88">"USE-" &amp; TEXT(ROW()-ROW(tblComponentUsage[#Headers]),"000")</f>
        <v>USE-087</v>
      </c>
      <c r="B88" t="str">
        <f>_xlfn.XLOOKUP($F88,'03_Component'!$C:$C,'03_Component'!$B:$B)</f>
        <v>COMP-093</v>
      </c>
      <c r="C88" t="str">
        <f>_xlfn.XLOOKUP($G88,'01_Craftable'!$C:$C,'01_Craftable'!$B:$B)</f>
        <v>CRFT-023</v>
      </c>
      <c r="D88">
        <v>2</v>
      </c>
      <c r="F88" t="s">
        <v>5</v>
      </c>
      <c r="G88" t="s">
        <v>922</v>
      </c>
    </row>
    <row r="89" spans="1:7">
      <c r="A89" t="str" cm="1">
        <f t="array" ref="A89">"USE-" &amp; TEXT(ROW()-ROW(tblComponentUsage[#Headers]),"000")</f>
        <v>USE-088</v>
      </c>
      <c r="B89" t="str">
        <f>_xlfn.XLOOKUP($F89,'03_Component'!$C:$C,'03_Component'!$B:$B)</f>
        <v>COMP-057</v>
      </c>
      <c r="C89" t="str">
        <f>_xlfn.XLOOKUP($G89,'01_Craftable'!$C:$C,'01_Craftable'!$B:$B)</f>
        <v>CRFT-023</v>
      </c>
      <c r="D89">
        <v>3</v>
      </c>
      <c r="F89" t="s">
        <v>159</v>
      </c>
      <c r="G89" t="s">
        <v>922</v>
      </c>
    </row>
    <row r="90" spans="1:7">
      <c r="A90" t="str" cm="1">
        <f t="array" ref="A90">"USE-" &amp; TEXT(ROW()-ROW(tblComponentUsage[#Headers]),"000")</f>
        <v>USE-089</v>
      </c>
      <c r="B90" t="str">
        <f>_xlfn.XLOOKUP($F90,'03_Component'!$C:$C,'03_Component'!$B:$B)</f>
        <v>COMP-107</v>
      </c>
      <c r="C90" t="str">
        <f>_xlfn.XLOOKUP($G90,'01_Craftable'!$C:$C,'01_Craftable'!$B:$B)</f>
        <v>CRFT-024</v>
      </c>
      <c r="D90">
        <v>6</v>
      </c>
      <c r="F90" t="s">
        <v>26</v>
      </c>
      <c r="G90" t="s">
        <v>923</v>
      </c>
    </row>
    <row r="91" spans="1:7">
      <c r="A91" t="str" cm="1">
        <f t="array" ref="A91">"USE-" &amp; TEXT(ROW()-ROW(tblComponentUsage[#Headers]),"000")</f>
        <v>USE-090</v>
      </c>
      <c r="B91" t="str">
        <f>_xlfn.XLOOKUP($F91,'03_Component'!$C:$C,'03_Component'!$B:$B)</f>
        <v>COMP-057</v>
      </c>
      <c r="C91" t="str">
        <f>_xlfn.XLOOKUP($G91,'01_Craftable'!$C:$C,'01_Craftable'!$B:$B)</f>
        <v>CRFT-024</v>
      </c>
      <c r="D91">
        <v>1</v>
      </c>
      <c r="F91" t="s">
        <v>159</v>
      </c>
      <c r="G91" t="s">
        <v>923</v>
      </c>
    </row>
    <row r="92" spans="1:7">
      <c r="A92" t="str" cm="1">
        <f t="array" ref="A92">"USE-" &amp; TEXT(ROW()-ROW(tblComponentUsage[#Headers]),"000")</f>
        <v>USE-091</v>
      </c>
      <c r="B92" t="str">
        <f>_xlfn.XLOOKUP($F92,'03_Component'!$C:$C,'03_Component'!$B:$B)</f>
        <v>COMP-096</v>
      </c>
      <c r="C92" t="str">
        <f>_xlfn.XLOOKUP($G92,'01_Craftable'!$C:$C,'01_Craftable'!$B:$B)</f>
        <v>CRFT-025</v>
      </c>
      <c r="D92">
        <v>6</v>
      </c>
      <c r="F92" t="s">
        <v>24</v>
      </c>
      <c r="G92" t="s">
        <v>924</v>
      </c>
    </row>
    <row r="93" spans="1:7">
      <c r="A93" t="str" cm="1">
        <f t="array" ref="A93">"USE-" &amp; TEXT(ROW()-ROW(tblComponentUsage[#Headers]),"000")</f>
        <v>USE-092</v>
      </c>
      <c r="B93" t="str">
        <f>_xlfn.XLOOKUP($F93,'03_Component'!$C:$C,'03_Component'!$B:$B)</f>
        <v>COMP-175</v>
      </c>
      <c r="C93" t="str">
        <f>_xlfn.XLOOKUP($G93,'01_Craftable'!$C:$C,'01_Craftable'!$B:$B)</f>
        <v>CRFT-025</v>
      </c>
      <c r="D93">
        <v>1</v>
      </c>
      <c r="F93" t="s">
        <v>244</v>
      </c>
      <c r="G93" t="s">
        <v>924</v>
      </c>
    </row>
    <row r="94" spans="1:7">
      <c r="A94" t="str" cm="1">
        <f t="array" ref="A94">"USE-" &amp; TEXT(ROW()-ROW(tblComponentUsage[#Headers]),"000")</f>
        <v>USE-093</v>
      </c>
      <c r="B94" t="str">
        <f>_xlfn.XLOOKUP($F94,'03_Component'!$C:$C,'03_Component'!$B:$B)</f>
        <v>COMP-107</v>
      </c>
      <c r="C94" t="str">
        <f>_xlfn.XLOOKUP($G94,'01_Craftable'!$C:$C,'01_Craftable'!$B:$B)</f>
        <v>CRFT-026</v>
      </c>
      <c r="D94">
        <v>6</v>
      </c>
      <c r="F94" t="s">
        <v>26</v>
      </c>
      <c r="G94" t="s">
        <v>925</v>
      </c>
    </row>
    <row r="95" spans="1:7">
      <c r="A95" t="str" cm="1">
        <f t="array" ref="A95">"USE-" &amp; TEXT(ROW()-ROW(tblComponentUsage[#Headers]),"000")</f>
        <v>USE-094</v>
      </c>
      <c r="B95" t="str">
        <f>_xlfn.XLOOKUP($F95,'03_Component'!$C:$C,'03_Component'!$B:$B)</f>
        <v>COMP-155</v>
      </c>
      <c r="C95" t="str">
        <f>_xlfn.XLOOKUP($G95,'01_Craftable'!$C:$C,'01_Craftable'!$B:$B)</f>
        <v>CRFT-026</v>
      </c>
      <c r="D95">
        <v>1</v>
      </c>
      <c r="F95" t="s">
        <v>230</v>
      </c>
      <c r="G95" t="s">
        <v>925</v>
      </c>
    </row>
    <row r="96" spans="1:7">
      <c r="A96" t="str" cm="1">
        <f t="array" ref="A96">"USE-" &amp; TEXT(ROW()-ROW(tblComponentUsage[#Headers]),"000")</f>
        <v>USE-095</v>
      </c>
      <c r="B96" t="str">
        <f>_xlfn.XLOOKUP($F96,'03_Component'!$C:$C,'03_Component'!$B:$B)</f>
        <v>COMP-107</v>
      </c>
      <c r="C96" t="str">
        <f>_xlfn.XLOOKUP($G96,'01_Craftable'!$C:$C,'01_Craftable'!$B:$B)</f>
        <v>CRFT-027</v>
      </c>
      <c r="D96">
        <v>6</v>
      </c>
      <c r="F96" t="s">
        <v>26</v>
      </c>
      <c r="G96" t="s">
        <v>926</v>
      </c>
    </row>
    <row r="97" spans="1:7">
      <c r="A97" t="str" cm="1">
        <f t="array" ref="A97">"USE-" &amp; TEXT(ROW()-ROW(tblComponentUsage[#Headers]),"000")</f>
        <v>USE-096</v>
      </c>
      <c r="B97" t="str">
        <f>_xlfn.XLOOKUP($F97,'03_Component'!$C:$C,'03_Component'!$B:$B)</f>
        <v>COMP-155</v>
      </c>
      <c r="C97" t="str">
        <f>_xlfn.XLOOKUP($G97,'01_Craftable'!$C:$C,'01_Craftable'!$B:$B)</f>
        <v>CRFT-027</v>
      </c>
      <c r="D97">
        <v>1</v>
      </c>
      <c r="F97" t="s">
        <v>230</v>
      </c>
      <c r="G97" t="s">
        <v>926</v>
      </c>
    </row>
    <row r="98" spans="1:7">
      <c r="A98" t="str" cm="1">
        <f t="array" ref="A98">"USE-" &amp; TEXT(ROW()-ROW(tblComponentUsage[#Headers]),"000")</f>
        <v>USE-097</v>
      </c>
      <c r="B98" t="str">
        <f>_xlfn.XLOOKUP($F98,'03_Component'!$C:$C,'03_Component'!$B:$B)</f>
        <v>COMP-107</v>
      </c>
      <c r="C98" t="str">
        <f>_xlfn.XLOOKUP($G98,'01_Craftable'!$C:$C,'01_Craftable'!$B:$B)</f>
        <v>CRFT-028</v>
      </c>
      <c r="D98">
        <v>6</v>
      </c>
      <c r="F98" t="s">
        <v>26</v>
      </c>
      <c r="G98" t="s">
        <v>927</v>
      </c>
    </row>
    <row r="99" spans="1:7">
      <c r="A99" t="str" cm="1">
        <f t="array" ref="A99">"USE-" &amp; TEXT(ROW()-ROW(tblComponentUsage[#Headers]),"000")</f>
        <v>USE-098</v>
      </c>
      <c r="B99" t="str">
        <f>_xlfn.XLOOKUP($F99,'03_Component'!$C:$C,'03_Component'!$B:$B)</f>
        <v>COMP-155</v>
      </c>
      <c r="C99" t="str">
        <f>_xlfn.XLOOKUP($G99,'01_Craftable'!$C:$C,'01_Craftable'!$B:$B)</f>
        <v>CRFT-028</v>
      </c>
      <c r="D99">
        <v>1</v>
      </c>
      <c r="F99" t="s">
        <v>230</v>
      </c>
      <c r="G99" t="s">
        <v>927</v>
      </c>
    </row>
    <row r="100" spans="1:7">
      <c r="A100" t="str" cm="1">
        <f t="array" ref="A100">"USE-" &amp; TEXT(ROW()-ROW(tblComponentUsage[#Headers]),"000")</f>
        <v>USE-099</v>
      </c>
      <c r="B100" t="str">
        <f>_xlfn.XLOOKUP($F100,'03_Component'!$C:$C,'03_Component'!$B:$B)</f>
        <v>COMP-096</v>
      </c>
      <c r="C100" t="str">
        <f>_xlfn.XLOOKUP($G100,'01_Craftable'!$C:$C,'01_Craftable'!$B:$B)</f>
        <v>CRFT-029</v>
      </c>
      <c r="D100">
        <v>6</v>
      </c>
      <c r="F100" t="s">
        <v>24</v>
      </c>
      <c r="G100" t="s">
        <v>928</v>
      </c>
    </row>
    <row r="101" spans="1:7">
      <c r="A101" t="str" cm="1">
        <f t="array" ref="A101">"USE-" &amp; TEXT(ROW()-ROW(tblComponentUsage[#Headers]),"000")</f>
        <v>USE-100</v>
      </c>
      <c r="B101" t="str">
        <f>_xlfn.XLOOKUP($F101,'03_Component'!$C:$C,'03_Component'!$B:$B)</f>
        <v>COMP-175</v>
      </c>
      <c r="C101" t="str">
        <f>_xlfn.XLOOKUP($G101,'01_Craftable'!$C:$C,'01_Craftable'!$B:$B)</f>
        <v>CRFT-029</v>
      </c>
      <c r="D101">
        <v>1</v>
      </c>
      <c r="F101" t="s">
        <v>244</v>
      </c>
      <c r="G101" t="s">
        <v>928</v>
      </c>
    </row>
    <row r="102" spans="1:7">
      <c r="A102" t="str" cm="1">
        <f t="array" ref="A102">"USE-" &amp; TEXT(ROW()-ROW(tblComponentUsage[#Headers]),"000")</f>
        <v>USE-101</v>
      </c>
      <c r="B102" t="str">
        <f>_xlfn.XLOOKUP($F102,'03_Component'!$C:$C,'03_Component'!$B:$B)</f>
        <v>COMP-096</v>
      </c>
      <c r="C102" t="str">
        <f>_xlfn.XLOOKUP($G102,'01_Craftable'!$C:$C,'01_Craftable'!$B:$B)</f>
        <v>CRFT-030</v>
      </c>
      <c r="D102">
        <v>6</v>
      </c>
      <c r="F102" t="s">
        <v>24</v>
      </c>
      <c r="G102" t="s">
        <v>929</v>
      </c>
    </row>
    <row r="103" spans="1:7">
      <c r="A103" t="str" cm="1">
        <f t="array" ref="A103">"USE-" &amp; TEXT(ROW()-ROW(tblComponentUsage[#Headers]),"000")</f>
        <v>USE-102</v>
      </c>
      <c r="B103" t="str">
        <f>_xlfn.XLOOKUP($F103,'03_Component'!$C:$C,'03_Component'!$B:$B)</f>
        <v>COMP-175</v>
      </c>
      <c r="C103" t="str">
        <f>_xlfn.XLOOKUP($G103,'01_Craftable'!$C:$C,'01_Craftable'!$B:$B)</f>
        <v>CRFT-030</v>
      </c>
      <c r="D103">
        <v>1</v>
      </c>
      <c r="F103" t="s">
        <v>244</v>
      </c>
      <c r="G103" t="s">
        <v>929</v>
      </c>
    </row>
    <row r="104" spans="1:7">
      <c r="A104" t="str" cm="1">
        <f t="array" ref="A104">"USE-" &amp; TEXT(ROW()-ROW(tblComponentUsage[#Headers]),"000")</f>
        <v>USE-103</v>
      </c>
      <c r="B104" t="str">
        <f>_xlfn.XLOOKUP($F104,'03_Component'!$C:$C,'03_Component'!$B:$B)</f>
        <v>COMP-133</v>
      </c>
      <c r="C104" t="str">
        <f>_xlfn.XLOOKUP($G104,'01_Craftable'!$C:$C,'01_Craftable'!$B:$B)</f>
        <v>CRFT-031</v>
      </c>
      <c r="D104">
        <v>7</v>
      </c>
      <c r="F104" t="s">
        <v>28</v>
      </c>
      <c r="G104" t="s">
        <v>930</v>
      </c>
    </row>
    <row r="105" spans="1:7">
      <c r="A105" t="str" cm="1">
        <f t="array" ref="A105">"USE-" &amp; TEXT(ROW()-ROW(tblComponentUsage[#Headers]),"000")</f>
        <v>USE-104</v>
      </c>
      <c r="B105" t="str">
        <f>_xlfn.XLOOKUP($F105,'03_Component'!$C:$C,'03_Component'!$B:$B)</f>
        <v>COMP-057</v>
      </c>
      <c r="C105" t="str">
        <f>_xlfn.XLOOKUP($G105,'01_Craftable'!$C:$C,'01_Craftable'!$B:$B)</f>
        <v>CRFT-031</v>
      </c>
      <c r="D105">
        <v>1</v>
      </c>
      <c r="F105" t="s">
        <v>159</v>
      </c>
      <c r="G105" t="s">
        <v>930</v>
      </c>
    </row>
    <row r="106" spans="1:7">
      <c r="A106" t="str" cm="1">
        <f t="array" ref="A106">"USE-" &amp; TEXT(ROW()-ROW(tblComponentUsage[#Headers]),"000")</f>
        <v>USE-105</v>
      </c>
      <c r="B106" t="str">
        <f>_xlfn.XLOOKUP($F106,'03_Component'!$C:$C,'03_Component'!$B:$B)</f>
        <v>COMP-107</v>
      </c>
      <c r="C106" t="str">
        <f>_xlfn.XLOOKUP($G106,'01_Craftable'!$C:$C,'01_Craftable'!$B:$B)</f>
        <v>CRFT-032</v>
      </c>
      <c r="D106">
        <v>6</v>
      </c>
      <c r="F106" t="s">
        <v>26</v>
      </c>
      <c r="G106" t="s">
        <v>931</v>
      </c>
    </row>
    <row r="107" spans="1:7">
      <c r="A107" t="str" cm="1">
        <f t="array" ref="A107">"USE-" &amp; TEXT(ROW()-ROW(tblComponentUsage[#Headers]),"000")</f>
        <v>USE-106</v>
      </c>
      <c r="B107" t="str">
        <f>_xlfn.XLOOKUP($F107,'03_Component'!$C:$C,'03_Component'!$B:$B)</f>
        <v>COMP-057</v>
      </c>
      <c r="C107" t="str">
        <f>_xlfn.XLOOKUP($G107,'01_Craftable'!$C:$C,'01_Craftable'!$B:$B)</f>
        <v>CRFT-032</v>
      </c>
      <c r="D107">
        <v>1</v>
      </c>
      <c r="F107" t="s">
        <v>159</v>
      </c>
      <c r="G107" t="s">
        <v>931</v>
      </c>
    </row>
    <row r="108" spans="1:7">
      <c r="A108" t="str" cm="1">
        <f t="array" ref="A108">"USE-" &amp; TEXT(ROW()-ROW(tblComponentUsage[#Headers]),"000")</f>
        <v>USE-107</v>
      </c>
      <c r="B108" t="str">
        <f>_xlfn.XLOOKUP($F108,'03_Component'!$C:$C,'03_Component'!$B:$B)</f>
        <v>COMP-003</v>
      </c>
      <c r="C108" t="str">
        <f>_xlfn.XLOOKUP($G108,'01_Craftable'!$C:$C,'01_Craftable'!$B:$B)</f>
        <v>CRFT-033</v>
      </c>
      <c r="D108">
        <v>3</v>
      </c>
      <c r="F108" t="s">
        <v>8</v>
      </c>
      <c r="G108" t="s">
        <v>932</v>
      </c>
    </row>
    <row r="109" spans="1:7">
      <c r="A109" t="str" cm="1">
        <f t="array" ref="A109">"USE-" &amp; TEXT(ROW()-ROW(tblComponentUsage[#Headers]),"000")</f>
        <v>USE-108</v>
      </c>
      <c r="B109" t="str">
        <f>_xlfn.XLOOKUP($F109,'03_Component'!$C:$C,'03_Component'!$B:$B)</f>
        <v>COMP-076</v>
      </c>
      <c r="C109" t="str">
        <f>_xlfn.XLOOKUP($G109,'01_Craftable'!$C:$C,'01_Craftable'!$B:$B)</f>
        <v>CRFT-033</v>
      </c>
      <c r="D109">
        <v>3</v>
      </c>
      <c r="F109" t="s">
        <v>172</v>
      </c>
      <c r="G109" t="s">
        <v>932</v>
      </c>
    </row>
    <row r="110" spans="1:7">
      <c r="A110" t="str" cm="1">
        <f t="array" ref="A110">"USE-" &amp; TEXT(ROW()-ROW(tblComponentUsage[#Headers]),"000")</f>
        <v>USE-109</v>
      </c>
      <c r="B110" t="str">
        <f>_xlfn.XLOOKUP($F110,'03_Component'!$C:$C,'03_Component'!$B:$B)</f>
        <v>COMP-033</v>
      </c>
      <c r="C110" t="str">
        <f>_xlfn.XLOOKUP($G110,'01_Craftable'!$C:$C,'01_Craftable'!$B:$B)</f>
        <v>CRFT-033</v>
      </c>
      <c r="D110">
        <v>3</v>
      </c>
      <c r="F110" t="s">
        <v>141</v>
      </c>
      <c r="G110" t="s">
        <v>932</v>
      </c>
    </row>
    <row r="111" spans="1:7">
      <c r="A111" t="str" cm="1">
        <f t="array" ref="A111">"USE-" &amp; TEXT(ROW()-ROW(tblComponentUsage[#Headers]),"000")</f>
        <v>USE-110</v>
      </c>
      <c r="B111" t="str">
        <f>_xlfn.XLOOKUP($F111,'03_Component'!$C:$C,'03_Component'!$B:$B)</f>
        <v>COMP-003</v>
      </c>
      <c r="C111" t="str">
        <f>_xlfn.XLOOKUP($G111,'01_Craftable'!$C:$C,'01_Craftable'!$B:$B)</f>
        <v>CRFT-034</v>
      </c>
      <c r="D111">
        <v>2</v>
      </c>
      <c r="F111" t="s">
        <v>8</v>
      </c>
      <c r="G111" t="s">
        <v>933</v>
      </c>
    </row>
    <row r="112" spans="1:7">
      <c r="A112" t="str" cm="1">
        <f t="array" ref="A112">"USE-" &amp; TEXT(ROW()-ROW(tblComponentUsage[#Headers]),"000")</f>
        <v>USE-111</v>
      </c>
      <c r="B112" t="str">
        <f>_xlfn.XLOOKUP($F112,'03_Component'!$C:$C,'03_Component'!$B:$B)</f>
        <v>COMP-094</v>
      </c>
      <c r="C112" t="str">
        <f>_xlfn.XLOOKUP($G112,'01_Craftable'!$C:$C,'01_Craftable'!$B:$B)</f>
        <v>CRFT-034</v>
      </c>
      <c r="D112">
        <v>3</v>
      </c>
      <c r="F112" t="s">
        <v>184</v>
      </c>
      <c r="G112" t="s">
        <v>933</v>
      </c>
    </row>
    <row r="113" spans="1:7">
      <c r="A113" t="str" cm="1">
        <f t="array" ref="A113">"USE-" &amp; TEXT(ROW()-ROW(tblComponentUsage[#Headers]),"000")</f>
        <v>USE-112</v>
      </c>
      <c r="B113" t="str">
        <f>_xlfn.XLOOKUP($F113,'03_Component'!$C:$C,'03_Component'!$B:$B)</f>
        <v>COMP-104</v>
      </c>
      <c r="C113" t="str">
        <f>_xlfn.XLOOKUP($G113,'01_Craftable'!$C:$C,'01_Craftable'!$B:$B)</f>
        <v>CRFT-034</v>
      </c>
      <c r="D113">
        <v>5</v>
      </c>
      <c r="F113" t="s">
        <v>191</v>
      </c>
      <c r="G113" t="s">
        <v>933</v>
      </c>
    </row>
    <row r="114" spans="1:7">
      <c r="A114" t="str" cm="1">
        <f t="array" ref="A114">"USE-" &amp; TEXT(ROW()-ROW(tblComponentUsage[#Headers]),"000")</f>
        <v>USE-113</v>
      </c>
      <c r="B114" t="str">
        <f>_xlfn.XLOOKUP($F114,'03_Component'!$C:$C,'03_Component'!$B:$B)</f>
        <v>COMP-059</v>
      </c>
      <c r="C114" t="str">
        <f>_xlfn.XLOOKUP($G114,'01_Craftable'!$C:$C,'01_Craftable'!$B:$B)</f>
        <v>CRFT-035</v>
      </c>
      <c r="D114">
        <v>2</v>
      </c>
      <c r="F114" t="s">
        <v>11</v>
      </c>
      <c r="G114" t="s">
        <v>934</v>
      </c>
    </row>
    <row r="115" spans="1:7">
      <c r="A115" t="str" cm="1">
        <f t="array" ref="A115">"USE-" &amp; TEXT(ROW()-ROW(tblComponentUsage[#Headers]),"000")</f>
        <v>USE-114</v>
      </c>
      <c r="B115" t="str">
        <f>_xlfn.XLOOKUP($F115,'03_Component'!$C:$C,'03_Component'!$B:$B)</f>
        <v>COMP-091</v>
      </c>
      <c r="C115" t="str">
        <f>_xlfn.XLOOKUP($G115,'01_Craftable'!$C:$C,'01_Craftable'!$B:$B)</f>
        <v>CRFT-035</v>
      </c>
      <c r="D115">
        <v>3</v>
      </c>
      <c r="F115" t="s">
        <v>182</v>
      </c>
      <c r="G115" t="s">
        <v>934</v>
      </c>
    </row>
    <row r="116" spans="1:7">
      <c r="A116" t="str" cm="1">
        <f t="array" ref="A116">"USE-" &amp; TEXT(ROW()-ROW(tblComponentUsage[#Headers]),"000")</f>
        <v>USE-115</v>
      </c>
      <c r="B116" t="str">
        <f>_xlfn.XLOOKUP($F116,'03_Component'!$C:$C,'03_Component'!$B:$B)</f>
        <v>COMP-059</v>
      </c>
      <c r="C116" t="str">
        <f>_xlfn.XLOOKUP($G116,'01_Craftable'!$C:$C,'01_Craftable'!$B:$B)</f>
        <v>CRFT-036</v>
      </c>
      <c r="D116">
        <v>2</v>
      </c>
      <c r="F116" t="s">
        <v>11</v>
      </c>
      <c r="G116" t="s">
        <v>935</v>
      </c>
    </row>
    <row r="117" spans="1:7">
      <c r="A117" t="str" cm="1">
        <f t="array" ref="A117">"USE-" &amp; TEXT(ROW()-ROW(tblComponentUsage[#Headers]),"000")</f>
        <v>USE-116</v>
      </c>
      <c r="B117" t="str">
        <f>_xlfn.XLOOKUP($F117,'03_Component'!$C:$C,'03_Component'!$B:$B)</f>
        <v>COMP-091</v>
      </c>
      <c r="C117" t="str">
        <f>_xlfn.XLOOKUP($G117,'01_Craftable'!$C:$C,'01_Craftable'!$B:$B)</f>
        <v>CRFT-036</v>
      </c>
      <c r="D117">
        <v>3</v>
      </c>
      <c r="F117" t="s">
        <v>182</v>
      </c>
      <c r="G117" t="s">
        <v>935</v>
      </c>
    </row>
    <row r="118" spans="1:7">
      <c r="A118" t="str" cm="1">
        <f t="array" ref="A118">"USE-" &amp; TEXT(ROW()-ROW(tblComponentUsage[#Headers]),"000")</f>
        <v>USE-117</v>
      </c>
      <c r="B118" t="str">
        <f>_xlfn.XLOOKUP($F118,'03_Component'!$C:$C,'03_Component'!$B:$B)</f>
        <v>COMP-059</v>
      </c>
      <c r="C118" t="str">
        <f>_xlfn.XLOOKUP($G118,'01_Craftable'!$C:$C,'01_Craftable'!$B:$B)</f>
        <v>CRFT-037</v>
      </c>
      <c r="D118">
        <v>2</v>
      </c>
      <c r="F118" t="s">
        <v>11</v>
      </c>
      <c r="G118" t="s">
        <v>936</v>
      </c>
    </row>
    <row r="119" spans="1:7">
      <c r="A119" t="str" cm="1">
        <f t="array" ref="A119">"USE-" &amp; TEXT(ROW()-ROW(tblComponentUsage[#Headers]),"000")</f>
        <v>USE-118</v>
      </c>
      <c r="B119" t="str">
        <f>_xlfn.XLOOKUP($F119,'03_Component'!$C:$C,'03_Component'!$B:$B)</f>
        <v>COMP-091</v>
      </c>
      <c r="C119" t="str">
        <f>_xlfn.XLOOKUP($G119,'01_Craftable'!$C:$C,'01_Craftable'!$B:$B)</f>
        <v>CRFT-037</v>
      </c>
      <c r="D119">
        <v>3</v>
      </c>
      <c r="F119" t="s">
        <v>182</v>
      </c>
      <c r="G119" t="s">
        <v>936</v>
      </c>
    </row>
    <row r="120" spans="1:7">
      <c r="A120" t="str" cm="1">
        <f t="array" ref="A120">"USE-" &amp; TEXT(ROW()-ROW(tblComponentUsage[#Headers]),"000")</f>
        <v>USE-119</v>
      </c>
      <c r="B120" t="str">
        <f>_xlfn.XLOOKUP($F120,'03_Component'!$C:$C,'03_Component'!$B:$B)</f>
        <v>COMP-107</v>
      </c>
      <c r="C120" t="str">
        <f>_xlfn.XLOOKUP($G120,'01_Craftable'!$C:$C,'01_Craftable'!$B:$B)</f>
        <v>CRFT-038</v>
      </c>
      <c r="D120">
        <v>6</v>
      </c>
      <c r="F120" t="s">
        <v>26</v>
      </c>
      <c r="G120" t="s">
        <v>937</v>
      </c>
    </row>
    <row r="121" spans="1:7">
      <c r="A121" t="str" cm="1">
        <f t="array" ref="A121">"USE-" &amp; TEXT(ROW()-ROW(tblComponentUsage[#Headers]),"000")</f>
        <v>USE-120</v>
      </c>
      <c r="B121" t="str">
        <f>_xlfn.XLOOKUP($F121,'03_Component'!$C:$C,'03_Component'!$B:$B)</f>
        <v>COMP-133</v>
      </c>
      <c r="C121" t="str">
        <f>_xlfn.XLOOKUP($G121,'01_Craftable'!$C:$C,'01_Craftable'!$B:$B)</f>
        <v>CRFT-038</v>
      </c>
      <c r="D121">
        <v>6</v>
      </c>
      <c r="F121" t="s">
        <v>28</v>
      </c>
      <c r="G121" t="s">
        <v>937</v>
      </c>
    </row>
    <row r="122" spans="1:7">
      <c r="A122" t="str" cm="1">
        <f t="array" ref="A122">"USE-" &amp; TEXT(ROW()-ROW(tblComponentUsage[#Headers]),"000")</f>
        <v>USE-121</v>
      </c>
      <c r="B122" t="str">
        <f>_xlfn.XLOOKUP($F122,'03_Component'!$C:$C,'03_Component'!$B:$B)</f>
        <v>COMP-107</v>
      </c>
      <c r="C122" t="str">
        <f>_xlfn.XLOOKUP($G122,'01_Craftable'!$C:$C,'01_Craftable'!$B:$B)</f>
        <v>CRFT-039</v>
      </c>
      <c r="D122">
        <v>6</v>
      </c>
      <c r="F122" t="s">
        <v>26</v>
      </c>
      <c r="G122" t="s">
        <v>938</v>
      </c>
    </row>
    <row r="123" spans="1:7">
      <c r="A123" t="str" cm="1">
        <f t="array" ref="A123">"USE-" &amp; TEXT(ROW()-ROW(tblComponentUsage[#Headers]),"000")</f>
        <v>USE-122</v>
      </c>
      <c r="B123" t="str">
        <f>_xlfn.XLOOKUP($F123,'03_Component'!$C:$C,'03_Component'!$B:$B)</f>
        <v>COMP-133</v>
      </c>
      <c r="C123" t="str">
        <f>_xlfn.XLOOKUP($G123,'01_Craftable'!$C:$C,'01_Craftable'!$B:$B)</f>
        <v>CRFT-039</v>
      </c>
      <c r="D123">
        <v>6</v>
      </c>
      <c r="F123" t="s">
        <v>28</v>
      </c>
      <c r="G123" t="s">
        <v>938</v>
      </c>
    </row>
    <row r="124" spans="1:7">
      <c r="A124" t="str" cm="1">
        <f t="array" ref="A124">"USE-" &amp; TEXT(ROW()-ROW(tblComponentUsage[#Headers]),"000")</f>
        <v>USE-123</v>
      </c>
      <c r="B124" t="str">
        <f>_xlfn.XLOOKUP($F124,'03_Component'!$C:$C,'03_Component'!$B:$B)</f>
        <v>COMP-116</v>
      </c>
      <c r="C124" t="str">
        <f>_xlfn.XLOOKUP($G124,'01_Craftable'!$C:$C,'01_Craftable'!$B:$B)</f>
        <v>CRFT-040</v>
      </c>
      <c r="D124">
        <v>1</v>
      </c>
      <c r="F124" t="s">
        <v>199</v>
      </c>
      <c r="G124" t="s">
        <v>939</v>
      </c>
    </row>
    <row r="125" spans="1:7">
      <c r="A125" t="str" cm="1">
        <f t="array" ref="A125">"USE-" &amp; TEXT(ROW()-ROW(tblComponentUsage[#Headers]),"000")</f>
        <v>USE-124</v>
      </c>
      <c r="B125" t="str">
        <f>_xlfn.XLOOKUP($F125,'03_Component'!$C:$C,'03_Component'!$B:$B)</f>
        <v>COMP-171</v>
      </c>
      <c r="C125" t="str">
        <f>_xlfn.XLOOKUP($G125,'01_Craftable'!$C:$C,'01_Craftable'!$B:$B)</f>
        <v>CRFT-040</v>
      </c>
      <c r="D125">
        <v>2</v>
      </c>
      <c r="F125" t="s">
        <v>241</v>
      </c>
      <c r="G125" t="s">
        <v>939</v>
      </c>
    </row>
    <row r="126" spans="1:7">
      <c r="A126" t="str" cm="1">
        <f t="array" ref="A126">"USE-" &amp; TEXT(ROW()-ROW(tblComponentUsage[#Headers]),"000")</f>
        <v>USE-125</v>
      </c>
      <c r="B126" t="str">
        <f>_xlfn.XLOOKUP($F126,'03_Component'!$C:$C,'03_Component'!$B:$B)</f>
        <v>COMP-010</v>
      </c>
      <c r="C126" t="str">
        <f>_xlfn.XLOOKUP($G126,'01_Craftable'!$C:$C,'01_Craftable'!$B:$B)</f>
        <v>CRFT-041</v>
      </c>
      <c r="D126">
        <v>1</v>
      </c>
      <c r="F126" t="s">
        <v>50</v>
      </c>
      <c r="G126" t="s">
        <v>940</v>
      </c>
    </row>
    <row r="127" spans="1:7">
      <c r="A127" t="str" cm="1">
        <f t="array" ref="A127">"USE-" &amp; TEXT(ROW()-ROW(tblComponentUsage[#Headers]),"000")</f>
        <v>USE-126</v>
      </c>
      <c r="B127" t="str">
        <f>_xlfn.XLOOKUP($F127,'03_Component'!$C:$C,'03_Component'!$B:$B)</f>
        <v>COMP-020</v>
      </c>
      <c r="C127" t="str">
        <f>_xlfn.XLOOKUP($G127,'01_Craftable'!$C:$C,'01_Craftable'!$B:$B)</f>
        <v>CRFT-041</v>
      </c>
      <c r="D127">
        <v>4</v>
      </c>
      <c r="F127" t="s">
        <v>129</v>
      </c>
      <c r="G127" t="s">
        <v>940</v>
      </c>
    </row>
    <row r="128" spans="1:7">
      <c r="A128" t="str" cm="1">
        <f t="array" ref="A128">"USE-" &amp; TEXT(ROW()-ROW(tblComponentUsage[#Headers]),"000")</f>
        <v>USE-127</v>
      </c>
      <c r="B128" t="str">
        <f>_xlfn.XLOOKUP($F128,'03_Component'!$C:$C,'03_Component'!$B:$B)</f>
        <v>COMP-002</v>
      </c>
      <c r="C128" t="str">
        <f>_xlfn.XLOOKUP($G128,'01_Craftable'!$C:$C,'01_Craftable'!$B:$B)</f>
        <v>CRFT-042</v>
      </c>
      <c r="D128">
        <v>2</v>
      </c>
      <c r="F128" t="s">
        <v>33</v>
      </c>
      <c r="G128" t="s">
        <v>941</v>
      </c>
    </row>
    <row r="129" spans="1:7">
      <c r="A129" t="str" cm="1">
        <f t="array" ref="A129">"USE-" &amp; TEXT(ROW()-ROW(tblComponentUsage[#Headers]),"000")</f>
        <v>USE-128</v>
      </c>
      <c r="B129" t="str">
        <f>_xlfn.XLOOKUP($F129,'03_Component'!$C:$C,'03_Component'!$B:$B)</f>
        <v>COMP-118</v>
      </c>
      <c r="C129" t="str">
        <f>_xlfn.XLOOKUP($G129,'01_Craftable'!$C:$C,'01_Craftable'!$B:$B)</f>
        <v>CRFT-042</v>
      </c>
      <c r="D129">
        <v>3</v>
      </c>
      <c r="F129" t="s">
        <v>200</v>
      </c>
      <c r="G129" t="s">
        <v>941</v>
      </c>
    </row>
    <row r="130" spans="1:7">
      <c r="A130" t="str" cm="1">
        <f t="array" ref="A130">"USE-" &amp; TEXT(ROW()-ROW(tblComponentUsage[#Headers]),"000")</f>
        <v>USE-129</v>
      </c>
      <c r="B130" t="str">
        <f>_xlfn.XLOOKUP($F130,'03_Component'!$C:$C,'03_Component'!$B:$B)</f>
        <v>COMP-175</v>
      </c>
      <c r="C130" t="str">
        <f>_xlfn.XLOOKUP($G130,'01_Craftable'!$C:$C,'01_Craftable'!$B:$B)</f>
        <v>CRFT-043</v>
      </c>
      <c r="D130">
        <v>3</v>
      </c>
      <c r="F130" t="s">
        <v>244</v>
      </c>
      <c r="G130" t="s">
        <v>33</v>
      </c>
    </row>
    <row r="131" spans="1:7">
      <c r="A131" t="str" cm="1">
        <f t="array" ref="A131">"USE-" &amp; TEXT(ROW()-ROW(tblComponentUsage[#Headers]),"000")</f>
        <v>USE-130</v>
      </c>
      <c r="B131" t="str">
        <f>_xlfn.XLOOKUP($F131,'03_Component'!$C:$C,'03_Component'!$B:$B)</f>
        <v>COMP-059</v>
      </c>
      <c r="C131" t="str">
        <f>_xlfn.XLOOKUP($G131,'01_Craftable'!$C:$C,'01_Craftable'!$B:$B)</f>
        <v>CRFT-043</v>
      </c>
      <c r="D131">
        <v>2</v>
      </c>
      <c r="F131" t="s">
        <v>11</v>
      </c>
      <c r="G131" t="s">
        <v>33</v>
      </c>
    </row>
    <row r="132" spans="1:7">
      <c r="A132" t="str" cm="1">
        <f t="array" ref="A132">"USE-" &amp; TEXT(ROW()-ROW(tblComponentUsage[#Headers]),"000")</f>
        <v>USE-131</v>
      </c>
      <c r="B132" t="str">
        <f>_xlfn.XLOOKUP($F132,'03_Component'!$C:$C,'03_Component'!$B:$B)</f>
        <v>COMP-155</v>
      </c>
      <c r="C132" t="str">
        <f>_xlfn.XLOOKUP($G132,'01_Craftable'!$C:$C,'01_Craftable'!$B:$B)</f>
        <v>CRFT-044</v>
      </c>
      <c r="D132">
        <v>2</v>
      </c>
      <c r="F132" t="s">
        <v>230</v>
      </c>
      <c r="G132" t="s">
        <v>8</v>
      </c>
    </row>
    <row r="133" spans="1:7">
      <c r="A133" t="str" cm="1">
        <f t="array" ref="A133">"USE-" &amp; TEXT(ROW()-ROW(tblComponentUsage[#Headers]),"000")</f>
        <v>USE-132</v>
      </c>
      <c r="B133" t="str">
        <f>_xlfn.XLOOKUP($F133,'03_Component'!$C:$C,'03_Component'!$B:$B)</f>
        <v>COMP-093</v>
      </c>
      <c r="C133" t="str">
        <f>_xlfn.XLOOKUP($G133,'01_Craftable'!$C:$C,'01_Craftable'!$B:$B)</f>
        <v>CRFT-044</v>
      </c>
      <c r="D133">
        <v>2</v>
      </c>
      <c r="F133" t="s">
        <v>5</v>
      </c>
      <c r="G133" t="s">
        <v>8</v>
      </c>
    </row>
    <row r="134" spans="1:7">
      <c r="A134" t="str" cm="1">
        <f t="array" ref="A134">"USE-" &amp; TEXT(ROW()-ROW(tblComponentUsage[#Headers]),"000")</f>
        <v>USE-133</v>
      </c>
      <c r="B134" t="str">
        <f>_xlfn.XLOOKUP($F134,'03_Component'!$C:$C,'03_Component'!$B:$B)</f>
        <v>COMP-035</v>
      </c>
      <c r="C134" t="str">
        <f>_xlfn.XLOOKUP($G134,'01_Craftable'!$C:$C,'01_Craftable'!$B:$B)</f>
        <v>CRFT-045</v>
      </c>
      <c r="D134">
        <v>10</v>
      </c>
      <c r="F134" t="s">
        <v>27</v>
      </c>
      <c r="G134" t="s">
        <v>38</v>
      </c>
    </row>
    <row r="135" spans="1:7">
      <c r="A135" t="str" cm="1">
        <f t="array" ref="A135">"USE-" &amp; TEXT(ROW()-ROW(tblComponentUsage[#Headers]),"000")</f>
        <v>USE-134</v>
      </c>
      <c r="B135" t="str">
        <f>_xlfn.XLOOKUP($F135,'03_Component'!$C:$C,'03_Component'!$B:$B)</f>
        <v>COMP-074</v>
      </c>
      <c r="C135" t="str">
        <f>_xlfn.XLOOKUP($G135,'01_Craftable'!$C:$C,'01_Craftable'!$B:$B)</f>
        <v>CRFT-045</v>
      </c>
      <c r="D135">
        <v>2</v>
      </c>
      <c r="F135" t="s">
        <v>170</v>
      </c>
      <c r="G135" t="s">
        <v>38</v>
      </c>
    </row>
    <row r="136" spans="1:7">
      <c r="A136" t="str" cm="1">
        <f t="array" ref="A136">"USE-" &amp; TEXT(ROW()-ROW(tblComponentUsage[#Headers]),"000")</f>
        <v>USE-135</v>
      </c>
      <c r="B136" t="str">
        <f>_xlfn.XLOOKUP($F136,'03_Component'!$C:$C,'03_Component'!$B:$B)</f>
        <v>COMP-042</v>
      </c>
      <c r="C136" t="str">
        <f>_xlfn.XLOOKUP($G136,'01_Craftable'!$C:$C,'01_Craftable'!$B:$B)</f>
        <v>CRFT-046</v>
      </c>
      <c r="D136">
        <v>2</v>
      </c>
      <c r="F136" t="s">
        <v>14</v>
      </c>
      <c r="G136" t="s">
        <v>42</v>
      </c>
    </row>
    <row r="137" spans="1:7">
      <c r="A137" t="str" cm="1">
        <f t="array" ref="A137">"USE-" &amp; TEXT(ROW()-ROW(tblComponentUsage[#Headers]),"000")</f>
        <v>USE-136</v>
      </c>
      <c r="B137" t="str">
        <f>_xlfn.XLOOKUP($F137,'03_Component'!$C:$C,'03_Component'!$B:$B)</f>
        <v>COMP-104</v>
      </c>
      <c r="C137" t="str">
        <f>_xlfn.XLOOKUP($G137,'01_Craftable'!$C:$C,'01_Craftable'!$B:$B)</f>
        <v>CRFT-046</v>
      </c>
      <c r="D137">
        <v>2</v>
      </c>
      <c r="F137" t="s">
        <v>191</v>
      </c>
      <c r="G137" t="s">
        <v>42</v>
      </c>
    </row>
    <row r="138" spans="1:7">
      <c r="A138" t="str" cm="1">
        <f t="array" ref="A138">"USE-" &amp; TEXT(ROW()-ROW(tblComponentUsage[#Headers]),"000")</f>
        <v>USE-137</v>
      </c>
      <c r="B138" t="str">
        <f>_xlfn.XLOOKUP($F138,'03_Component'!$C:$C,'03_Component'!$B:$B)</f>
        <v>COMP-155</v>
      </c>
      <c r="C138" t="str">
        <f>_xlfn.XLOOKUP($G138,'01_Craftable'!$C:$C,'01_Craftable'!$B:$B)</f>
        <v>CRFT-047</v>
      </c>
      <c r="D138">
        <v>2</v>
      </c>
      <c r="F138" t="s">
        <v>230</v>
      </c>
      <c r="G138" t="s">
        <v>186</v>
      </c>
    </row>
    <row r="139" spans="1:7">
      <c r="A139" t="str" cm="1">
        <f t="array" ref="A139">"USE-" &amp; TEXT(ROW()-ROW(tblComponentUsage[#Headers]),"000")</f>
        <v>USE-138</v>
      </c>
      <c r="B139" t="str">
        <f>_xlfn.XLOOKUP($F139,'03_Component'!$C:$C,'03_Component'!$B:$B)</f>
        <v>COMP-093</v>
      </c>
      <c r="C139" t="str">
        <f>_xlfn.XLOOKUP($G139,'01_Craftable'!$C:$C,'01_Craftable'!$B:$B)</f>
        <v>CRFT-047</v>
      </c>
      <c r="D139">
        <v>2</v>
      </c>
      <c r="F139" t="s">
        <v>5</v>
      </c>
      <c r="G139" t="s">
        <v>186</v>
      </c>
    </row>
    <row r="140" spans="1:7">
      <c r="A140" t="str" cm="1">
        <f t="array" ref="A140">"USE-" &amp; TEXT(ROW()-ROW(tblComponentUsage[#Headers]),"000")</f>
        <v>USE-139</v>
      </c>
      <c r="B140" t="str">
        <f>_xlfn.XLOOKUP($F140,'03_Component'!$C:$C,'03_Component'!$B:$B)</f>
        <v>COMP-035</v>
      </c>
      <c r="C140" t="str">
        <f>_xlfn.XLOOKUP($G140,'01_Craftable'!$C:$C,'01_Craftable'!$B:$B)</f>
        <v>CRFT-048</v>
      </c>
      <c r="D140">
        <v>6</v>
      </c>
      <c r="F140" t="s">
        <v>27</v>
      </c>
      <c r="G140" t="s">
        <v>14</v>
      </c>
    </row>
    <row r="141" spans="1:7">
      <c r="A141" t="str" cm="1">
        <f t="array" ref="A141">"USE-" &amp; TEXT(ROW()-ROW(tblComponentUsage[#Headers]),"000")</f>
        <v>USE-140</v>
      </c>
      <c r="B141" t="str">
        <f>_xlfn.XLOOKUP($F141,'03_Component'!$C:$C,'03_Component'!$B:$B)</f>
        <v>COMP-065</v>
      </c>
      <c r="C141" t="str">
        <f>_xlfn.XLOOKUP($G141,'01_Craftable'!$C:$C,'01_Craftable'!$B:$B)</f>
        <v>CRFT-049</v>
      </c>
      <c r="D141">
        <v>14</v>
      </c>
      <c r="F141" t="s">
        <v>25</v>
      </c>
      <c r="G141" t="s">
        <v>17</v>
      </c>
    </row>
    <row r="142" spans="1:7">
      <c r="A142" t="str" cm="1">
        <f t="array" ref="A142">"USE-" &amp; TEXT(ROW()-ROW(tblComponentUsage[#Headers]),"000")</f>
        <v>USE-141</v>
      </c>
      <c r="B142" t="str">
        <f>_xlfn.XLOOKUP($F142,'03_Component'!$C:$C,'03_Component'!$B:$B)</f>
        <v>COMP-107</v>
      </c>
      <c r="C142" t="str">
        <f>_xlfn.XLOOKUP($G142,'01_Craftable'!$C:$C,'01_Craftable'!$B:$B)</f>
        <v>CRFT-050</v>
      </c>
      <c r="D142">
        <v>8</v>
      </c>
      <c r="F142" t="s">
        <v>26</v>
      </c>
      <c r="G142" t="s">
        <v>11</v>
      </c>
    </row>
    <row r="143" spans="1:7">
      <c r="A143" t="str" cm="1">
        <f t="array" ref="A143">"USE-" &amp; TEXT(ROW()-ROW(tblComponentUsage[#Headers]),"000")</f>
        <v>USE-142</v>
      </c>
      <c r="B143" t="str">
        <f>_xlfn.XLOOKUP($F143,'03_Component'!$C:$C,'03_Component'!$B:$B)</f>
        <v>COMP-133</v>
      </c>
      <c r="C143" t="str">
        <f>_xlfn.XLOOKUP($G143,'01_Craftable'!$C:$C,'01_Craftable'!$B:$B)</f>
        <v>CRFT-050</v>
      </c>
      <c r="D143">
        <v>4</v>
      </c>
      <c r="F143" t="s">
        <v>28</v>
      </c>
      <c r="G143" t="s">
        <v>11</v>
      </c>
    </row>
    <row r="144" spans="1:7">
      <c r="A144" t="str" cm="1">
        <f t="array" ref="A144">"USE-" &amp; TEXT(ROW()-ROW(tblComponentUsage[#Headers]),"000")</f>
        <v>USE-143</v>
      </c>
      <c r="B144" t="str">
        <f>_xlfn.XLOOKUP($F144,'03_Component'!$C:$C,'03_Component'!$B:$B)</f>
        <v>COMP-096</v>
      </c>
      <c r="C144" t="str">
        <f>_xlfn.XLOOKUP($G144,'01_Craftable'!$C:$C,'01_Craftable'!$B:$B)</f>
        <v>CRFT-051</v>
      </c>
      <c r="D144">
        <v>7</v>
      </c>
      <c r="F144" t="s">
        <v>24</v>
      </c>
      <c r="G144" t="s">
        <v>5</v>
      </c>
    </row>
    <row r="145" spans="1:7">
      <c r="A145" t="str" cm="1">
        <f t="array" ref="A145">"USE-" &amp; TEXT(ROW()-ROW(tblComponentUsage[#Headers]),"000")</f>
        <v>USE-144</v>
      </c>
      <c r="B145" t="str">
        <f>_xlfn.XLOOKUP($F145,'03_Component'!$C:$C,'03_Component'!$B:$B)</f>
        <v>COMP-133</v>
      </c>
      <c r="C145" t="str">
        <f>_xlfn.XLOOKUP($G145,'01_Craftable'!$C:$C,'01_Craftable'!$B:$B)</f>
        <v>CRFT-051</v>
      </c>
      <c r="D145">
        <v>3</v>
      </c>
      <c r="F145" t="s">
        <v>28</v>
      </c>
      <c r="G145" t="s">
        <v>5</v>
      </c>
    </row>
    <row r="146" spans="1:7">
      <c r="A146" t="str" cm="1">
        <f t="array" ref="A146">"USE-" &amp; TEXT(ROW()-ROW(tblComponentUsage[#Headers]),"000")</f>
        <v>USE-145</v>
      </c>
      <c r="B146" t="str">
        <f>_xlfn.XLOOKUP($F146,'03_Component'!$C:$C,'03_Component'!$B:$B)</f>
        <v>COMP-003</v>
      </c>
      <c r="C146" t="str">
        <f>_xlfn.XLOOKUP($G146,'01_Craftable'!$C:$C,'01_Craftable'!$B:$B)</f>
        <v>CRFT-052</v>
      </c>
      <c r="D146">
        <v>2</v>
      </c>
      <c r="F146" t="s">
        <v>8</v>
      </c>
      <c r="G146" t="s">
        <v>183</v>
      </c>
    </row>
    <row r="147" spans="1:7">
      <c r="A147" t="str" cm="1">
        <f t="array" ref="A147">"USE-" &amp; TEXT(ROW()-ROW(tblComponentUsage[#Headers]),"000")</f>
        <v>USE-146</v>
      </c>
      <c r="B147" t="str">
        <f>_xlfn.XLOOKUP($F147,'03_Component'!$C:$C,'03_Component'!$B:$B)</f>
        <v>COMP-013</v>
      </c>
      <c r="C147" t="str">
        <f>_xlfn.XLOOKUP($G147,'01_Craftable'!$C:$C,'01_Craftable'!$B:$B)</f>
        <v>CRFT-052</v>
      </c>
      <c r="D147">
        <v>2</v>
      </c>
      <c r="F147" t="s">
        <v>1</v>
      </c>
      <c r="G147" t="s">
        <v>183</v>
      </c>
    </row>
    <row r="148" spans="1:7">
      <c r="A148" t="str" cm="1">
        <f t="array" ref="A148">"USE-" &amp; TEXT(ROW()-ROW(tblComponentUsage[#Headers]),"000")</f>
        <v>USE-147</v>
      </c>
      <c r="B148" t="str">
        <f>_xlfn.XLOOKUP($F148,'03_Component'!$C:$C,'03_Component'!$B:$B)</f>
        <v>COMP-002</v>
      </c>
      <c r="C148" t="str">
        <f>_xlfn.XLOOKUP($G148,'01_Craftable'!$C:$C,'01_Craftable'!$B:$B)</f>
        <v>CRFT-053</v>
      </c>
      <c r="D148">
        <v>2</v>
      </c>
      <c r="F148" t="s">
        <v>33</v>
      </c>
      <c r="G148" t="s">
        <v>199</v>
      </c>
    </row>
    <row r="149" spans="1:7">
      <c r="A149" t="str" cm="1">
        <f t="array" ref="A149">"USE-" &amp; TEXT(ROW()-ROW(tblComponentUsage[#Headers]),"000")</f>
        <v>USE-148</v>
      </c>
      <c r="B149" t="str">
        <f>_xlfn.XLOOKUP($F149,'03_Component'!$C:$C,'03_Component'!$B:$B)</f>
        <v>COMP-010</v>
      </c>
      <c r="C149" t="str">
        <f>_xlfn.XLOOKUP($G149,'01_Craftable'!$C:$C,'01_Craftable'!$B:$B)</f>
        <v>CRFT-053</v>
      </c>
      <c r="D149">
        <v>2</v>
      </c>
      <c r="F149" t="s">
        <v>50</v>
      </c>
      <c r="G149" t="s">
        <v>199</v>
      </c>
    </row>
    <row r="150" spans="1:7">
      <c r="A150" t="str" cm="1">
        <f t="array" ref="A150">"USE-" &amp; TEXT(ROW()-ROW(tblComponentUsage[#Headers]),"000")</f>
        <v>USE-149</v>
      </c>
      <c r="B150" t="str">
        <f>_xlfn.XLOOKUP($F150,'03_Component'!$C:$C,'03_Component'!$B:$B)</f>
        <v>COMP-009</v>
      </c>
      <c r="C150" t="str">
        <f>_xlfn.XLOOKUP($G150,'01_Craftable'!$C:$C,'01_Craftable'!$B:$B)</f>
        <v>CRFT-054</v>
      </c>
      <c r="D150">
        <v>6</v>
      </c>
      <c r="F150" t="s">
        <v>36</v>
      </c>
      <c r="G150" t="s">
        <v>50</v>
      </c>
    </row>
    <row r="151" spans="1:7">
      <c r="A151" t="str" cm="1">
        <f t="array" ref="A151">"USE-" &amp; TEXT(ROW()-ROW(tblComponentUsage[#Headers]),"000")</f>
        <v>USE-150</v>
      </c>
      <c r="B151" t="str">
        <f>_xlfn.XLOOKUP($F151,'03_Component'!$C:$C,'03_Component'!$B:$B)</f>
        <v>COMP-009</v>
      </c>
      <c r="C151" t="str">
        <f>_xlfn.XLOOKUP($G151,'01_Craftable'!$C:$C,'01_Craftable'!$B:$B)</f>
        <v>CRFT-055</v>
      </c>
      <c r="D151">
        <v>6</v>
      </c>
      <c r="F151" t="s">
        <v>36</v>
      </c>
      <c r="G151" t="s">
        <v>1</v>
      </c>
    </row>
    <row r="152" spans="1:7">
      <c r="A152" t="str" cm="1">
        <f t="array" ref="A152">"USE-" &amp; TEXT(ROW()-ROW(tblComponentUsage[#Headers]),"000")</f>
        <v>USE-151</v>
      </c>
      <c r="B152" t="str">
        <f>_xlfn.XLOOKUP($F152,'03_Component'!$C:$C,'03_Component'!$B:$B)</f>
        <v>COMP-042</v>
      </c>
      <c r="C152" t="str">
        <f>_xlfn.XLOOKUP($G152,'01_Craftable'!$C:$C,'01_Craftable'!$B:$B)</f>
        <v>CRFT-056</v>
      </c>
      <c r="D152">
        <v>1</v>
      </c>
      <c r="F152" t="s">
        <v>14</v>
      </c>
      <c r="G152" t="s">
        <v>942</v>
      </c>
    </row>
    <row r="153" spans="1:7">
      <c r="A153" t="str" cm="1">
        <f t="array" ref="A153">"USE-" &amp; TEXT(ROW()-ROW(tblComponentUsage[#Headers]),"000")</f>
        <v>USE-152</v>
      </c>
      <c r="B153" t="str">
        <f>_xlfn.XLOOKUP($F153,'03_Component'!$C:$C,'03_Component'!$B:$B)</f>
        <v>COMP-155</v>
      </c>
      <c r="C153" t="str">
        <f>_xlfn.XLOOKUP($G153,'01_Craftable'!$C:$C,'01_Craftable'!$B:$B)</f>
        <v>CRFT-056</v>
      </c>
      <c r="D153">
        <v>2</v>
      </c>
      <c r="F153" t="s">
        <v>230</v>
      </c>
      <c r="G153" t="s">
        <v>942</v>
      </c>
    </row>
    <row r="154" spans="1:7">
      <c r="A154" t="str" cm="1">
        <f t="array" ref="A154">"USE-" &amp; TEXT(ROW()-ROW(tblComponentUsage[#Headers]),"000")</f>
        <v>USE-153</v>
      </c>
      <c r="B154" t="str">
        <f>_xlfn.XLOOKUP($F154,'03_Component'!$C:$C,'03_Component'!$B:$B)</f>
        <v>COMP-042</v>
      </c>
      <c r="C154" t="str">
        <f>_xlfn.XLOOKUP($G154,'01_Craftable'!$C:$C,'01_Craftable'!$B:$B)</f>
        <v>CRFT-057</v>
      </c>
      <c r="D154">
        <v>2</v>
      </c>
      <c r="F154" t="s">
        <v>14</v>
      </c>
      <c r="G154" t="s">
        <v>943</v>
      </c>
    </row>
    <row r="155" spans="1:7">
      <c r="A155" t="str" cm="1">
        <f t="array" ref="A155">"USE-" &amp; TEXT(ROW()-ROW(tblComponentUsage[#Headers]),"000")</f>
        <v>USE-154</v>
      </c>
      <c r="B155" t="str">
        <f>_xlfn.XLOOKUP($F155,'03_Component'!$C:$C,'03_Component'!$B:$B)</f>
        <v>COMP-091</v>
      </c>
      <c r="C155" t="str">
        <f>_xlfn.XLOOKUP($G155,'01_Craftable'!$C:$C,'01_Craftable'!$B:$B)</f>
        <v>CRFT-057</v>
      </c>
      <c r="D155">
        <v>1</v>
      </c>
      <c r="F155" t="s">
        <v>182</v>
      </c>
      <c r="G155" t="s">
        <v>943</v>
      </c>
    </row>
    <row r="156" spans="1:7">
      <c r="A156" t="str" cm="1">
        <f t="array" ref="A156">"USE-" &amp; TEXT(ROW()-ROW(tblComponentUsage[#Headers]),"000")</f>
        <v>USE-155</v>
      </c>
      <c r="B156" t="str">
        <f>_xlfn.XLOOKUP($F156,'03_Component'!$C:$C,'03_Component'!$B:$B)</f>
        <v>COMP-035</v>
      </c>
      <c r="C156" t="str">
        <f>_xlfn.XLOOKUP($G156,'01_Craftable'!$C:$C,'01_Craftable'!$B:$B)</f>
        <v>CRFT-058</v>
      </c>
      <c r="D156">
        <v>4</v>
      </c>
      <c r="F156" t="s">
        <v>27</v>
      </c>
      <c r="G156" t="s">
        <v>944</v>
      </c>
    </row>
    <row r="157" spans="1:7">
      <c r="A157" t="str" cm="1">
        <f t="array" ref="A157">"USE-" &amp; TEXT(ROW()-ROW(tblComponentUsage[#Headers]),"000")</f>
        <v>USE-156</v>
      </c>
      <c r="B157" t="str">
        <f>_xlfn.XLOOKUP($F157,'03_Component'!$C:$C,'03_Component'!$B:$B)</f>
        <v>COMP-133</v>
      </c>
      <c r="C157" t="str">
        <f>_xlfn.XLOOKUP($G157,'01_Craftable'!$C:$C,'01_Craftable'!$B:$B)</f>
        <v>CRFT-058</v>
      </c>
      <c r="D157">
        <v>2</v>
      </c>
      <c r="F157" t="s">
        <v>28</v>
      </c>
      <c r="G157" t="s">
        <v>944</v>
      </c>
    </row>
    <row r="158" spans="1:7">
      <c r="A158" t="str" cm="1">
        <f t="array" ref="A158">"USE-" &amp; TEXT(ROW()-ROW(tblComponentUsage[#Headers]),"000")</f>
        <v>USE-157</v>
      </c>
      <c r="B158" t="str">
        <f>_xlfn.XLOOKUP($F158,'03_Component'!$C:$C,'03_Component'!$B:$B)</f>
        <v>COMP-107</v>
      </c>
      <c r="C158" t="str">
        <f>_xlfn.XLOOKUP($G158,'01_Craftable'!$C:$C,'01_Craftable'!$B:$B)</f>
        <v>CRFT-018</v>
      </c>
      <c r="D158">
        <v>2</v>
      </c>
      <c r="F158" t="s">
        <v>26</v>
      </c>
      <c r="G158" t="s">
        <v>917</v>
      </c>
    </row>
    <row r="159" spans="1:7">
      <c r="A159" t="str" cm="1">
        <f t="array" ref="A159">"USE-" &amp; TEXT(ROW()-ROW(tblComponentUsage[#Headers]),"000")</f>
        <v>USE-158</v>
      </c>
      <c r="B159" t="str">
        <f>_xlfn.XLOOKUP($F159,'03_Component'!$C:$C,'03_Component'!$B:$B)</f>
        <v>COMP-035</v>
      </c>
      <c r="C159" t="str">
        <f>_xlfn.XLOOKUP($G159,'01_Craftable'!$C:$C,'01_Craftable'!$B:$B)</f>
        <v>CRFT-018</v>
      </c>
      <c r="D159">
        <v>3</v>
      </c>
      <c r="F159" t="s">
        <v>27</v>
      </c>
      <c r="G159" t="s">
        <v>917</v>
      </c>
    </row>
    <row r="160" spans="1:7">
      <c r="A160" t="str" cm="1">
        <f t="array" ref="A160">"USE-" &amp; TEXT(ROW()-ROW(tblComponentUsage[#Headers]),"000")</f>
        <v>USE-159</v>
      </c>
      <c r="B160" t="str">
        <f>_xlfn.XLOOKUP($F160,'03_Component'!$C:$C,'03_Component'!$B:$B)</f>
        <v>COMP-064</v>
      </c>
      <c r="C160" t="str">
        <f>_xlfn.XLOOKUP($G160,'01_Craftable'!$C:$C,'01_Craftable'!$B:$B)</f>
        <v>CRFT-060</v>
      </c>
      <c r="D160">
        <v>1</v>
      </c>
      <c r="F160" t="s">
        <v>42</v>
      </c>
      <c r="G160" t="s">
        <v>945</v>
      </c>
    </row>
    <row r="161" spans="1:7">
      <c r="A161" t="str" cm="1">
        <f t="array" ref="A161">"USE-" &amp; TEXT(ROW()-ROW(tblComponentUsage[#Headers]),"000")</f>
        <v>USE-160</v>
      </c>
      <c r="B161" t="str">
        <f>_xlfn.XLOOKUP($F161,'03_Component'!$C:$C,'03_Component'!$B:$B)</f>
        <v>COMP-033</v>
      </c>
      <c r="C161" t="str">
        <f>_xlfn.XLOOKUP($G161,'01_Craftable'!$C:$C,'01_Craftable'!$B:$B)</f>
        <v>CRFT-060</v>
      </c>
      <c r="D161">
        <v>2</v>
      </c>
      <c r="F161" t="s">
        <v>141</v>
      </c>
      <c r="G161" t="s">
        <v>945</v>
      </c>
    </row>
    <row r="162" spans="1:7">
      <c r="A162" t="str" cm="1">
        <f t="array" ref="A162">"USE-" &amp; TEXT(ROW()-ROW(tblComponentUsage[#Headers]),"000")</f>
        <v>USE-161</v>
      </c>
      <c r="B162" t="str">
        <f>_xlfn.XLOOKUP($F162,'03_Component'!$C:$C,'03_Component'!$B:$B)</f>
        <v>COMP-007</v>
      </c>
      <c r="C162" t="str">
        <f>_xlfn.XLOOKUP($G162,'01_Craftable'!$C:$C,'01_Craftable'!$B:$B)</f>
        <v>CRFT-061</v>
      </c>
      <c r="D162">
        <v>1</v>
      </c>
      <c r="F162" t="s">
        <v>38</v>
      </c>
      <c r="G162" t="s">
        <v>946</v>
      </c>
    </row>
    <row r="163" spans="1:7">
      <c r="A163" t="str" cm="1">
        <f t="array" ref="A163">"USE-" &amp; TEXT(ROW()-ROW(tblComponentUsage[#Headers]),"000")</f>
        <v>USE-162</v>
      </c>
      <c r="B163" t="str">
        <f>_xlfn.XLOOKUP($F163,'03_Component'!$C:$C,'03_Component'!$B:$B)</f>
        <v>COMP-058</v>
      </c>
      <c r="C163" t="str">
        <f>_xlfn.XLOOKUP($G163,'01_Craftable'!$C:$C,'01_Craftable'!$B:$B)</f>
        <v>CRFT-061</v>
      </c>
      <c r="D163">
        <v>2</v>
      </c>
      <c r="F163" t="s">
        <v>17</v>
      </c>
      <c r="G163" t="s">
        <v>946</v>
      </c>
    </row>
    <row r="164" spans="1:7">
      <c r="A164" t="str" cm="1">
        <f t="array" ref="A164">"USE-" &amp; TEXT(ROW()-ROW(tblComponentUsage[#Headers]),"000")</f>
        <v>USE-163</v>
      </c>
      <c r="B164" t="str">
        <f>_xlfn.XLOOKUP($F164,'03_Component'!$C:$C,'03_Component'!$B:$B)</f>
        <v>COMP-059</v>
      </c>
      <c r="C164" t="str">
        <f>_xlfn.XLOOKUP($G164,'01_Craftable'!$C:$C,'01_Craftable'!$B:$B)</f>
        <v>CRFT-062</v>
      </c>
      <c r="D164">
        <v>1</v>
      </c>
      <c r="F164" t="s">
        <v>11</v>
      </c>
      <c r="G164" t="s">
        <v>947</v>
      </c>
    </row>
    <row r="165" spans="1:7">
      <c r="A165" t="str" cm="1">
        <f t="array" ref="A165">"USE-" &amp; TEXT(ROW()-ROW(tblComponentUsage[#Headers]),"000")</f>
        <v>USE-164</v>
      </c>
      <c r="B165" t="str">
        <f>_xlfn.XLOOKUP($F165,'03_Component'!$C:$C,'03_Component'!$B:$B)</f>
        <v>COMP-001</v>
      </c>
      <c r="C165" t="str">
        <f>_xlfn.XLOOKUP($G165,'01_Craftable'!$C:$C,'01_Craftable'!$B:$B)</f>
        <v>CRFT-062</v>
      </c>
      <c r="D165">
        <v>1</v>
      </c>
      <c r="F165" t="s">
        <v>120</v>
      </c>
      <c r="G165" t="s">
        <v>947</v>
      </c>
    </row>
    <row r="166" spans="1:7">
      <c r="A166" t="str" cm="1">
        <f t="array" ref="A166">"USE-" &amp; TEXT(ROW()-ROW(tblComponentUsage[#Headers]),"000")</f>
        <v>USE-165</v>
      </c>
      <c r="B166" t="str">
        <f>_xlfn.XLOOKUP($F166,'03_Component'!$C:$C,'03_Component'!$B:$B)</f>
        <v>COMP-058</v>
      </c>
      <c r="C166" t="str">
        <f>_xlfn.XLOOKUP($G166,'01_Craftable'!$C:$C,'01_Craftable'!$B:$B)</f>
        <v>CRFT-063</v>
      </c>
      <c r="D166">
        <v>1</v>
      </c>
      <c r="F166" t="s">
        <v>17</v>
      </c>
      <c r="G166" t="s">
        <v>948</v>
      </c>
    </row>
    <row r="167" spans="1:7">
      <c r="A167" t="str" cm="1">
        <f t="array" ref="A167">"USE-" &amp; TEXT(ROW()-ROW(tblComponentUsage[#Headers]),"000")</f>
        <v>USE-166</v>
      </c>
      <c r="B167" t="str">
        <f>_xlfn.XLOOKUP($F167,'03_Component'!$C:$C,'03_Component'!$B:$B)</f>
        <v>COMP-074</v>
      </c>
      <c r="C167" t="str">
        <f>_xlfn.XLOOKUP($G167,'01_Craftable'!$C:$C,'01_Craftable'!$B:$B)</f>
        <v>CRFT-063</v>
      </c>
      <c r="D167">
        <v>1</v>
      </c>
      <c r="F167" t="s">
        <v>170</v>
      </c>
      <c r="G167" t="s">
        <v>948</v>
      </c>
    </row>
    <row r="168" spans="1:7">
      <c r="A168" t="str" cm="1">
        <f t="array" ref="A168">"USE-" &amp; TEXT(ROW()-ROW(tblComponentUsage[#Headers]),"000")</f>
        <v>USE-167</v>
      </c>
      <c r="B168" t="str">
        <f>_xlfn.XLOOKUP($F168,'03_Component'!$C:$C,'03_Component'!$B:$B)</f>
        <v>COMP-035</v>
      </c>
      <c r="C168" t="str">
        <f>_xlfn.XLOOKUP($G168,'01_Craftable'!$C:$C,'01_Craftable'!$B:$B)</f>
        <v>CRFT-064</v>
      </c>
      <c r="D168">
        <v>3</v>
      </c>
      <c r="F168" t="s">
        <v>27</v>
      </c>
      <c r="G168" t="s">
        <v>949</v>
      </c>
    </row>
    <row r="169" spans="1:7">
      <c r="A169" t="str" cm="1">
        <f t="array" ref="A169">"USE-" &amp; TEXT(ROW()-ROW(tblComponentUsage[#Headers]),"000")</f>
        <v>USE-168</v>
      </c>
      <c r="B169" t="str">
        <f>_xlfn.XLOOKUP($F169,'03_Component'!$C:$C,'03_Component'!$B:$B)</f>
        <v>COMP-107</v>
      </c>
      <c r="C169" t="str">
        <f>_xlfn.XLOOKUP($G169,'01_Craftable'!$C:$C,'01_Craftable'!$B:$B)</f>
        <v>CRFT-064</v>
      </c>
      <c r="D169">
        <v>3</v>
      </c>
      <c r="F169" t="s">
        <v>26</v>
      </c>
      <c r="G169" t="s">
        <v>949</v>
      </c>
    </row>
    <row r="170" spans="1:7">
      <c r="A170" t="str" cm="1">
        <f t="array" ref="A170">"USE-" &amp; TEXT(ROW()-ROW(tblComponentUsage[#Headers]),"000")</f>
        <v>USE-169</v>
      </c>
      <c r="B170" t="str">
        <f>_xlfn.XLOOKUP($F170,'03_Component'!$C:$C,'03_Component'!$B:$B)</f>
        <v>COMP-107</v>
      </c>
      <c r="C170" t="str">
        <f>_xlfn.XLOOKUP($G170,'01_Craftable'!$C:$C,'01_Craftable'!$B:$B)</f>
        <v>CRFT-065</v>
      </c>
      <c r="D170">
        <v>8</v>
      </c>
      <c r="F170" t="s">
        <v>26</v>
      </c>
      <c r="G170" t="s">
        <v>950</v>
      </c>
    </row>
    <row r="171" spans="1:7">
      <c r="A171" t="str" cm="1">
        <f t="array" ref="A171">"USE-" &amp; TEXT(ROW()-ROW(tblComponentUsage[#Headers]),"000")</f>
        <v>USE-170</v>
      </c>
      <c r="B171" t="str">
        <f>_xlfn.XLOOKUP($F171,'03_Component'!$C:$C,'03_Component'!$B:$B)</f>
        <v>COMP-133</v>
      </c>
      <c r="C171" t="str">
        <f>_xlfn.XLOOKUP($G171,'01_Craftable'!$C:$C,'01_Craftable'!$B:$B)</f>
        <v>CRFT-065</v>
      </c>
      <c r="D171">
        <v>4</v>
      </c>
      <c r="F171" t="s">
        <v>28</v>
      </c>
      <c r="G171" t="s">
        <v>950</v>
      </c>
    </row>
    <row r="172" spans="1:7">
      <c r="A172" t="str" cm="1">
        <f t="array" ref="A172">"USE-" &amp; TEXT(ROW()-ROW(tblComponentUsage[#Headers]),"000")</f>
        <v>USE-171</v>
      </c>
      <c r="B172" t="str">
        <f>_xlfn.XLOOKUP($F172,'03_Component'!$C:$C,'03_Component'!$B:$B)</f>
        <v>COMP-035</v>
      </c>
      <c r="C172" t="str">
        <f>_xlfn.XLOOKUP($G172,'01_Craftable'!$C:$C,'01_Craftable'!$B:$B)</f>
        <v>CRFT-066</v>
      </c>
      <c r="D172">
        <v>5</v>
      </c>
      <c r="F172" t="s">
        <v>27</v>
      </c>
      <c r="G172" t="s">
        <v>951</v>
      </c>
    </row>
    <row r="173" spans="1:7">
      <c r="A173" t="str" cm="1">
        <f t="array" ref="A173">"USE-" &amp; TEXT(ROW()-ROW(tblComponentUsage[#Headers]),"000")</f>
        <v>USE-172</v>
      </c>
      <c r="B173" t="str">
        <f>_xlfn.XLOOKUP($F173,'03_Component'!$C:$C,'03_Component'!$B:$B)</f>
        <v>COMP-107</v>
      </c>
      <c r="C173" t="str">
        <f>_xlfn.XLOOKUP($G173,'01_Craftable'!$C:$C,'01_Craftable'!$B:$B)</f>
        <v>CRFT-066</v>
      </c>
      <c r="D173">
        <v>1</v>
      </c>
      <c r="F173" t="s">
        <v>26</v>
      </c>
      <c r="G173" t="s">
        <v>951</v>
      </c>
    </row>
    <row r="174" spans="1:7">
      <c r="A174" t="str" cm="1">
        <f t="array" ref="A174">"USE-" &amp; TEXT(ROW()-ROW(tblComponentUsage[#Headers]),"000")</f>
        <v>USE-173</v>
      </c>
      <c r="B174" t="str">
        <f>_xlfn.XLOOKUP($F174,'03_Component'!$C:$C,'03_Component'!$B:$B)</f>
        <v>COMP-096</v>
      </c>
      <c r="C174" t="str">
        <f>_xlfn.XLOOKUP($G174,'01_Craftable'!$C:$C,'01_Craftable'!$B:$B)</f>
        <v>CRFT-067</v>
      </c>
      <c r="D174">
        <v>3</v>
      </c>
      <c r="F174" t="s">
        <v>24</v>
      </c>
      <c r="G174" t="s">
        <v>952</v>
      </c>
    </row>
    <row r="175" spans="1:7">
      <c r="A175" t="str" cm="1">
        <f t="array" ref="A175">"USE-" &amp; TEXT(ROW()-ROW(tblComponentUsage[#Headers]),"000")</f>
        <v>USE-174</v>
      </c>
      <c r="B175" t="str">
        <f>_xlfn.XLOOKUP($F175,'03_Component'!$C:$C,'03_Component'!$B:$B)</f>
        <v>COMP-133</v>
      </c>
      <c r="C175" t="str">
        <f>_xlfn.XLOOKUP($G175,'01_Craftable'!$C:$C,'01_Craftable'!$B:$B)</f>
        <v>CRFT-067</v>
      </c>
      <c r="D175">
        <v>3</v>
      </c>
      <c r="F175" t="s">
        <v>28</v>
      </c>
      <c r="G175" t="s">
        <v>952</v>
      </c>
    </row>
    <row r="176" spans="1:7">
      <c r="A176" t="str" cm="1">
        <f t="array" ref="A176">"USE-" &amp; TEXT(ROW()-ROW(tblComponentUsage[#Headers]),"000")</f>
        <v>USE-175</v>
      </c>
      <c r="B176" t="str">
        <f>_xlfn.XLOOKUP($F176,'03_Component'!$C:$C,'03_Component'!$B:$B)</f>
        <v>COMP-002</v>
      </c>
      <c r="C176" t="str">
        <f>_xlfn.XLOOKUP($G176,'01_Craftable'!$C:$C,'01_Craftable'!$B:$B)</f>
        <v>CRFT-068</v>
      </c>
      <c r="D176">
        <v>2</v>
      </c>
      <c r="F176" t="s">
        <v>33</v>
      </c>
      <c r="G176" t="s">
        <v>953</v>
      </c>
    </row>
    <row r="177" spans="1:7">
      <c r="A177" t="str" cm="1">
        <f t="array" ref="A177">"USE-" &amp; TEXT(ROW()-ROW(tblComponentUsage[#Headers]),"000")</f>
        <v>USE-176</v>
      </c>
      <c r="B177" t="str">
        <f>_xlfn.XLOOKUP($F177,'03_Component'!$C:$C,'03_Component'!$B:$B)</f>
        <v>COMP-151</v>
      </c>
      <c r="C177" t="str">
        <f>_xlfn.XLOOKUP($G177,'01_Craftable'!$C:$C,'01_Craftable'!$B:$B)</f>
        <v>CRFT-068</v>
      </c>
      <c r="D177">
        <v>4</v>
      </c>
      <c r="F177" t="s">
        <v>226</v>
      </c>
      <c r="G177" t="s">
        <v>953</v>
      </c>
    </row>
    <row r="178" spans="1:7">
      <c r="A178" t="str" cm="1">
        <f t="array" ref="A178">"USE-" &amp; TEXT(ROW()-ROW(tblComponentUsage[#Headers]),"000")</f>
        <v>USE-177</v>
      </c>
      <c r="B178" t="str">
        <f>_xlfn.XLOOKUP($F178,'03_Component'!$C:$C,'03_Component'!$B:$B)</f>
        <v>COMP-151</v>
      </c>
      <c r="C178" t="str">
        <f>_xlfn.XLOOKUP($G178,'01_Craftable'!$C:$C,'01_Craftable'!$B:$B)</f>
        <v>CRFT-069</v>
      </c>
      <c r="D178">
        <v>1</v>
      </c>
      <c r="F178" t="s">
        <v>226</v>
      </c>
      <c r="G178" t="s">
        <v>954</v>
      </c>
    </row>
    <row r="179" spans="1:7">
      <c r="A179" t="str" cm="1">
        <f t="array" ref="A179">"USE-" &amp; TEXT(ROW()-ROW(tblComponentUsage[#Headers]),"000")</f>
        <v>USE-178</v>
      </c>
      <c r="B179" t="str">
        <f>_xlfn.XLOOKUP($F179,'03_Component'!$C:$C,'03_Component'!$B:$B)</f>
        <v>COMP-059</v>
      </c>
      <c r="C179" t="str">
        <f>_xlfn.XLOOKUP($G179,'01_Craftable'!$C:$C,'01_Craftable'!$B:$B)</f>
        <v>CRFT-069</v>
      </c>
      <c r="D179">
        <v>1</v>
      </c>
      <c r="F179" t="s">
        <v>11</v>
      </c>
      <c r="G179" t="s">
        <v>954</v>
      </c>
    </row>
    <row r="180" spans="1:7">
      <c r="A180" t="str" cm="1">
        <f t="array" ref="A180">"USE-" &amp; TEXT(ROW()-ROW(tblComponentUsage[#Headers]),"000")</f>
        <v>USE-179</v>
      </c>
      <c r="B180" t="str">
        <f>_xlfn.XLOOKUP($F180,'03_Component'!$C:$C,'03_Component'!$B:$B)</f>
        <v>COMP-002</v>
      </c>
      <c r="C180" t="str">
        <f>_xlfn.XLOOKUP($G180,'01_Craftable'!$C:$C,'01_Craftable'!$B:$B)</f>
        <v>CRFT-070</v>
      </c>
      <c r="D180">
        <v>1</v>
      </c>
      <c r="F180" t="s">
        <v>33</v>
      </c>
      <c r="G180" t="s">
        <v>955</v>
      </c>
    </row>
    <row r="181" spans="1:7">
      <c r="A181" t="str" cm="1">
        <f t="array" ref="A181">"USE-" &amp; TEXT(ROW()-ROW(tblComponentUsage[#Headers]),"000")</f>
        <v>USE-180</v>
      </c>
      <c r="B181" t="str">
        <f>_xlfn.XLOOKUP($F181,'03_Component'!$C:$C,'03_Component'!$B:$B)</f>
        <v>COMP-146</v>
      </c>
      <c r="C181" t="str">
        <f>_xlfn.XLOOKUP($G181,'01_Craftable'!$C:$C,'01_Craftable'!$B:$B)</f>
        <v>CRFT-070</v>
      </c>
      <c r="D181">
        <v>3</v>
      </c>
      <c r="F181" t="s">
        <v>223</v>
      </c>
      <c r="G181" t="s">
        <v>955</v>
      </c>
    </row>
    <row r="182" spans="1:7">
      <c r="A182" t="str" cm="1">
        <f t="array" ref="A182">"USE-" &amp; TEXT(ROW()-ROW(tblComponentUsage[#Headers]),"000")</f>
        <v>USE-181</v>
      </c>
      <c r="B182" t="str">
        <f>_xlfn.XLOOKUP($F182,'03_Component'!$C:$C,'03_Component'!$B:$B)</f>
        <v>COMP-129</v>
      </c>
      <c r="C182" t="str">
        <f>_xlfn.XLOOKUP($G182,'01_Craftable'!$C:$C,'01_Craftable'!$B:$B)</f>
        <v>CRFT-071</v>
      </c>
      <c r="D182">
        <v>1</v>
      </c>
      <c r="F182" t="s">
        <v>210</v>
      </c>
      <c r="G182" t="s">
        <v>956</v>
      </c>
    </row>
    <row r="183" spans="1:7">
      <c r="A183" t="str" cm="1">
        <f t="array" ref="A183">"USE-" &amp; TEXT(ROW()-ROW(tblComponentUsage[#Headers]),"000")</f>
        <v>USE-182</v>
      </c>
      <c r="B183" t="str">
        <f>_xlfn.XLOOKUP($F183,'03_Component'!$C:$C,'03_Component'!$B:$B)</f>
        <v>COMP-093</v>
      </c>
      <c r="C183" t="str">
        <f>_xlfn.XLOOKUP($G183,'01_Craftable'!$C:$C,'01_Craftable'!$B:$B)</f>
        <v>CRFT-071</v>
      </c>
      <c r="D183">
        <v>1</v>
      </c>
      <c r="F183" t="s">
        <v>5</v>
      </c>
      <c r="G183" t="s">
        <v>956</v>
      </c>
    </row>
  </sheetData>
  <phoneticPr fontId="6"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178F2-73B5-47A7-870C-C8518A2D1226}">
  <sheetPr>
    <tabColor theme="1" tint="0.499984740745262"/>
  </sheetPr>
  <dimension ref="A1:G282"/>
  <sheetViews>
    <sheetView workbookViewId="0">
      <pane ySplit="1" topLeftCell="A35" activePane="bottomLeft" state="frozen"/>
      <selection activeCell="B1" sqref="B1"/>
      <selection pane="bottomLeft" activeCell="G19" sqref="G19"/>
    </sheetView>
  </sheetViews>
  <sheetFormatPr defaultRowHeight="15"/>
  <cols>
    <col min="1" max="1" width="9.140625" customWidth="1"/>
    <col min="2" max="2" width="13" customWidth="1"/>
    <col min="3" max="3" width="15.42578125" customWidth="1"/>
    <col min="4" max="4" width="12.42578125" customWidth="1"/>
    <col min="6" max="6" width="32.5703125" bestFit="1" customWidth="1"/>
    <col min="7" max="7" width="24.42578125" bestFit="1" customWidth="1"/>
  </cols>
  <sheetData>
    <row r="1" spans="1:7">
      <c r="A1" t="s">
        <v>644</v>
      </c>
      <c r="B1" t="s">
        <v>640</v>
      </c>
      <c r="C1" t="s">
        <v>370</v>
      </c>
      <c r="D1" t="s">
        <v>558</v>
      </c>
      <c r="F1" t="s">
        <v>641</v>
      </c>
      <c r="G1" t="s">
        <v>642</v>
      </c>
    </row>
    <row r="2" spans="1:7">
      <c r="A2" s="1" t="s">
        <v>70</v>
      </c>
      <c r="B2" t="str">
        <f>_xlfn.CONCAT("CL-",A2)</f>
        <v>CL-001</v>
      </c>
      <c r="C2" t="str">
        <f>_xlfn.XLOOKUP($F2,'03_Component'!$C:$C,'03_Component'!$B:$B)</f>
        <v>COMP-001</v>
      </c>
      <c r="D2" t="str">
        <f>_xlfn.XLOOKUP($G2,'02_Location'!$B:$B,'02_Location'!$A:$A)</f>
        <v>LOC-001</v>
      </c>
      <c r="F2" t="s">
        <v>120</v>
      </c>
      <c r="G2" t="s">
        <v>2</v>
      </c>
    </row>
    <row r="3" spans="1:7">
      <c r="A3" s="1" t="s">
        <v>71</v>
      </c>
      <c r="B3" t="str">
        <f t="shared" ref="B3:B69" si="0">_xlfn.CONCAT("CL-",A3)</f>
        <v>CL-002</v>
      </c>
      <c r="C3" t="str">
        <f>_xlfn.XLOOKUP($F3,'03_Component'!$C:$C,'03_Component'!$B:$B)</f>
        <v>COMP-002</v>
      </c>
      <c r="D3" t="str">
        <f>_xlfn.XLOOKUP($G3,'02_Location'!$B:$B,'02_Location'!$A:$A)</f>
        <v>LOC-003</v>
      </c>
      <c r="F3" t="s">
        <v>33</v>
      </c>
      <c r="G3" t="s">
        <v>563</v>
      </c>
    </row>
    <row r="4" spans="1:7">
      <c r="A4" s="1" t="s">
        <v>72</v>
      </c>
      <c r="B4" t="str">
        <f t="shared" si="0"/>
        <v>CL-003</v>
      </c>
      <c r="C4" t="str">
        <f>_xlfn.XLOOKUP($F4,'03_Component'!$C:$C,'03_Component'!$B:$B)</f>
        <v>COMP-003</v>
      </c>
      <c r="D4" t="str">
        <f>_xlfn.XLOOKUP($G4,'02_Location'!$B:$B,'02_Location'!$A:$A)</f>
        <v>LOC-006</v>
      </c>
      <c r="F4" t="s">
        <v>8</v>
      </c>
      <c r="G4" t="s">
        <v>561</v>
      </c>
    </row>
    <row r="5" spans="1:7">
      <c r="A5" s="1" t="s">
        <v>73</v>
      </c>
      <c r="B5" t="str">
        <f t="shared" si="0"/>
        <v>CL-004</v>
      </c>
      <c r="C5" t="str">
        <f>_xlfn.XLOOKUP($F5,'03_Component'!$C:$C,'03_Component'!$B:$B)</f>
        <v>COMP-004</v>
      </c>
      <c r="D5">
        <f>_xlfn.XLOOKUP($G5,'02_Location'!$B:$B,'02_Location'!$A:$A)</f>
        <v>0</v>
      </c>
      <c r="F5" t="s">
        <v>121</v>
      </c>
    </row>
    <row r="6" spans="1:7">
      <c r="A6" s="1" t="s">
        <v>74</v>
      </c>
      <c r="B6" t="str">
        <f t="shared" si="0"/>
        <v>CL-005</v>
      </c>
      <c r="C6" t="str">
        <f>_xlfn.XLOOKUP($F6,'03_Component'!$C:$C,'03_Component'!$B:$B)</f>
        <v>COMP-005</v>
      </c>
      <c r="D6">
        <f>_xlfn.XLOOKUP($G6,'02_Location'!$B:$B,'02_Location'!$A:$A)</f>
        <v>0</v>
      </c>
      <c r="F6" t="s">
        <v>122</v>
      </c>
    </row>
    <row r="7" spans="1:7">
      <c r="A7" s="1" t="s">
        <v>75</v>
      </c>
      <c r="B7" t="str">
        <f t="shared" si="0"/>
        <v>CL-006</v>
      </c>
      <c r="C7" t="str">
        <f>_xlfn.XLOOKUP($F7,'03_Component'!$C:$C,'03_Component'!$B:$B)</f>
        <v>COMP-006</v>
      </c>
      <c r="D7">
        <f>_xlfn.XLOOKUP($G7,'02_Location'!$B:$B,'02_Location'!$A:$A)</f>
        <v>0</v>
      </c>
      <c r="F7" t="s">
        <v>123</v>
      </c>
    </row>
    <row r="8" spans="1:7">
      <c r="A8" s="1" t="s">
        <v>76</v>
      </c>
      <c r="B8" t="str">
        <f t="shared" si="0"/>
        <v>CL-007</v>
      </c>
      <c r="C8" t="str">
        <f>_xlfn.XLOOKUP($F8,'03_Component'!$C:$C,'03_Component'!$B:$B)</f>
        <v>COMP-007</v>
      </c>
      <c r="D8" t="str">
        <f>_xlfn.XLOOKUP($G8,'02_Location'!$B:$B,'02_Location'!$A:$A)</f>
        <v>LOC-007</v>
      </c>
      <c r="F8" t="s">
        <v>38</v>
      </c>
      <c r="G8" t="s">
        <v>567</v>
      </c>
    </row>
    <row r="9" spans="1:7">
      <c r="A9" s="1" t="s">
        <v>77</v>
      </c>
      <c r="B9" t="str">
        <f t="shared" si="0"/>
        <v>CL-008</v>
      </c>
      <c r="C9" t="str">
        <f>_xlfn.XLOOKUP($F9,'03_Component'!$C:$C,'03_Component'!$B:$B)</f>
        <v>COMP-008</v>
      </c>
      <c r="D9" t="str">
        <f>_xlfn.XLOOKUP($G9,'02_Location'!$B:$B,'02_Location'!$A:$A)</f>
        <v>LOC-008</v>
      </c>
      <c r="F9" t="s">
        <v>55</v>
      </c>
      <c r="G9" t="s">
        <v>569</v>
      </c>
    </row>
    <row r="10" spans="1:7">
      <c r="A10" s="1" t="s">
        <v>78</v>
      </c>
      <c r="B10" t="str">
        <f t="shared" si="0"/>
        <v>CL-009</v>
      </c>
      <c r="C10" t="str">
        <f>_xlfn.XLOOKUP($F10,'03_Component'!$C:$C,'03_Component'!$B:$B)</f>
        <v>COMP-009</v>
      </c>
      <c r="D10" t="str">
        <f>_xlfn.XLOOKUP($G10,'02_Location'!$B:$B,'02_Location'!$A:$A)</f>
        <v>LOC-001</v>
      </c>
      <c r="F10" t="s">
        <v>36</v>
      </c>
      <c r="G10" t="s">
        <v>2</v>
      </c>
    </row>
    <row r="11" spans="1:7">
      <c r="A11" s="1" t="s">
        <v>79</v>
      </c>
      <c r="B11" t="str">
        <f t="shared" si="0"/>
        <v>CL-010</v>
      </c>
      <c r="C11" t="str">
        <f>_xlfn.XLOOKUP($F11,'03_Component'!$C:$C,'03_Component'!$B:$B)</f>
        <v>COMP-010</v>
      </c>
      <c r="D11" t="str">
        <f>_xlfn.XLOOKUP($G11,'02_Location'!$B:$B,'02_Location'!$A:$A)</f>
        <v>LOC-001</v>
      </c>
      <c r="F11" t="s">
        <v>50</v>
      </c>
      <c r="G11" t="s">
        <v>2</v>
      </c>
    </row>
    <row r="12" spans="1:7">
      <c r="A12" s="1" t="s">
        <v>80</v>
      </c>
      <c r="B12" t="str">
        <f t="shared" si="0"/>
        <v>CL-011</v>
      </c>
      <c r="C12" t="str">
        <f>_xlfn.XLOOKUP($F12,'03_Component'!$C:$C,'03_Component'!$B:$B)</f>
        <v>COMP-011</v>
      </c>
      <c r="D12">
        <f>_xlfn.XLOOKUP($G12,'02_Location'!$B:$B,'02_Location'!$A:$A)</f>
        <v>0</v>
      </c>
      <c r="F12" t="s">
        <v>124</v>
      </c>
    </row>
    <row r="13" spans="1:7">
      <c r="A13" s="1" t="s">
        <v>81</v>
      </c>
      <c r="B13" t="str">
        <f t="shared" si="0"/>
        <v>CL-012</v>
      </c>
      <c r="C13" t="str">
        <f>_xlfn.XLOOKUP($F13,'03_Component'!$C:$C,'03_Component'!$B:$B)</f>
        <v>COMP-012</v>
      </c>
      <c r="D13" t="str">
        <f>_xlfn.XLOOKUP($G13,'02_Location'!$B:$B,'02_Location'!$A:$A)</f>
        <v>LOC-001</v>
      </c>
      <c r="F13" t="s">
        <v>125</v>
      </c>
      <c r="G13" t="s">
        <v>2</v>
      </c>
    </row>
    <row r="14" spans="1:7">
      <c r="A14" s="1" t="s">
        <v>82</v>
      </c>
      <c r="B14" t="str">
        <f t="shared" si="0"/>
        <v>CL-013</v>
      </c>
      <c r="C14" t="str">
        <f>_xlfn.XLOOKUP($F14,'03_Component'!$C:$C,'03_Component'!$B:$B)</f>
        <v>COMP-013</v>
      </c>
      <c r="D14" t="str">
        <f>_xlfn.XLOOKUP($G14,'02_Location'!$B:$B,'02_Location'!$A:$A)</f>
        <v>LOC-001</v>
      </c>
      <c r="F14" t="s">
        <v>1</v>
      </c>
      <c r="G14" t="s">
        <v>2</v>
      </c>
    </row>
    <row r="15" spans="1:7">
      <c r="A15" s="1" t="s">
        <v>83</v>
      </c>
      <c r="B15" t="str">
        <f t="shared" si="0"/>
        <v>CL-014</v>
      </c>
      <c r="C15" t="str">
        <f>_xlfn.XLOOKUP($F15,'03_Component'!$C:$C,'03_Component'!$B:$B)</f>
        <v>COMP-014</v>
      </c>
      <c r="D15" t="str">
        <f>_xlfn.XLOOKUP($G15,'02_Location'!$B:$B,'02_Location'!$A:$A)</f>
        <v>LOC-001</v>
      </c>
      <c r="F15" t="s">
        <v>126</v>
      </c>
      <c r="G15" t="s">
        <v>2</v>
      </c>
    </row>
    <row r="16" spans="1:7">
      <c r="A16" s="1" t="s">
        <v>84</v>
      </c>
      <c r="B16" t="str">
        <f t="shared" si="0"/>
        <v>CL-015</v>
      </c>
      <c r="C16" t="str">
        <f>_xlfn.XLOOKUP($F16,'03_Component'!$C:$C,'03_Component'!$B:$B)</f>
        <v>COMP-015</v>
      </c>
      <c r="D16" t="str">
        <f>_xlfn.XLOOKUP($G16,'02_Location'!$B:$B,'02_Location'!$A:$A)</f>
        <v>LOC-001</v>
      </c>
      <c r="F16" t="s">
        <v>48</v>
      </c>
      <c r="G16" t="s">
        <v>2</v>
      </c>
    </row>
    <row r="17" spans="1:7">
      <c r="A17" s="1" t="s">
        <v>85</v>
      </c>
      <c r="B17" t="str">
        <f t="shared" si="0"/>
        <v>CL-016</v>
      </c>
      <c r="C17" t="str">
        <f>_xlfn.XLOOKUP($F17,'03_Component'!$C:$C,'03_Component'!$B:$B)</f>
        <v>COMP-016</v>
      </c>
      <c r="D17" t="str">
        <f>_xlfn.XLOOKUP($G17,'02_Location'!$B:$B,'02_Location'!$A:$A)</f>
        <v>LOC-001</v>
      </c>
      <c r="F17" t="s">
        <v>127</v>
      </c>
      <c r="G17" t="s">
        <v>2</v>
      </c>
    </row>
    <row r="18" spans="1:7">
      <c r="A18" s="1" t="s">
        <v>86</v>
      </c>
      <c r="B18" t="str">
        <f t="shared" si="0"/>
        <v>CL-017</v>
      </c>
      <c r="C18" t="str">
        <f>_xlfn.XLOOKUP($F18,'03_Component'!$C:$C,'03_Component'!$B:$B)</f>
        <v>COMP-017</v>
      </c>
      <c r="D18" t="str">
        <f>_xlfn.XLOOKUP($G18,'02_Location'!$B:$B,'02_Location'!$A:$A)</f>
        <v>LOC-001</v>
      </c>
      <c r="F18" t="s">
        <v>128</v>
      </c>
      <c r="G18" t="s">
        <v>2</v>
      </c>
    </row>
    <row r="19" spans="1:7">
      <c r="A19" s="1" t="s">
        <v>87</v>
      </c>
      <c r="B19" t="str">
        <f t="shared" si="0"/>
        <v>CL-018</v>
      </c>
      <c r="C19" t="str">
        <f>_xlfn.XLOOKUP($F19,'03_Component'!$C:$C,'03_Component'!$B:$B)</f>
        <v>COMP-018</v>
      </c>
      <c r="D19" t="str">
        <f>_xlfn.XLOOKUP($G19,'02_Location'!$B:$B,'02_Location'!$A:$A)</f>
        <v>LOC-008</v>
      </c>
      <c r="F19" t="s">
        <v>29</v>
      </c>
      <c r="G19" t="s">
        <v>569</v>
      </c>
    </row>
    <row r="20" spans="1:7">
      <c r="A20" s="1" t="s">
        <v>88</v>
      </c>
      <c r="B20" t="str">
        <f t="shared" si="0"/>
        <v>CL-019</v>
      </c>
      <c r="C20" t="str">
        <f>_xlfn.XLOOKUP($F20,'03_Component'!$C:$C,'03_Component'!$B:$B)</f>
        <v>COMP-019</v>
      </c>
      <c r="D20">
        <f>_xlfn.XLOOKUP($G20,'02_Location'!$B:$B,'02_Location'!$A:$A)</f>
        <v>0</v>
      </c>
      <c r="F20" t="s">
        <v>34</v>
      </c>
    </row>
    <row r="21" spans="1:7">
      <c r="A21" s="1" t="s">
        <v>89</v>
      </c>
      <c r="B21" t="str">
        <f t="shared" si="0"/>
        <v>CL-020</v>
      </c>
      <c r="C21" t="str">
        <f>_xlfn.XLOOKUP($F21,'03_Component'!$C:$C,'03_Component'!$B:$B)</f>
        <v>COMP-020</v>
      </c>
      <c r="D21" t="str">
        <f>_xlfn.XLOOKUP($G21,'02_Location'!$B:$B,'02_Location'!$A:$A)</f>
        <v>LOC-011</v>
      </c>
      <c r="F21" t="s">
        <v>129</v>
      </c>
      <c r="G21" t="s">
        <v>568</v>
      </c>
    </row>
    <row r="22" spans="1:7">
      <c r="A22" s="1" t="s">
        <v>90</v>
      </c>
      <c r="B22" t="str">
        <f>_xlfn.CONCAT("CL-",A22)</f>
        <v>CL-021</v>
      </c>
      <c r="C22" t="str">
        <f>_xlfn.XLOOKUP($F22,'03_Component'!$C:$C,'03_Component'!$B:$B)</f>
        <v>COMP-020</v>
      </c>
      <c r="D22" t="str">
        <f>_xlfn.XLOOKUP($G22,'02_Location'!$B:$B,'02_Location'!$A:$A)</f>
        <v>LOC-003</v>
      </c>
      <c r="F22" t="s">
        <v>129</v>
      </c>
      <c r="G22" t="s">
        <v>563</v>
      </c>
    </row>
    <row r="23" spans="1:7">
      <c r="A23" s="1" t="s">
        <v>91</v>
      </c>
      <c r="B23" t="str">
        <f t="shared" si="0"/>
        <v>CL-022</v>
      </c>
      <c r="C23" t="str">
        <f>_xlfn.XLOOKUP($F23,'03_Component'!$C:$C,'03_Component'!$B:$B)</f>
        <v>COMP-021</v>
      </c>
      <c r="D23">
        <f>_xlfn.XLOOKUP($G23,'02_Location'!$B:$B,'02_Location'!$A:$A)</f>
        <v>0</v>
      </c>
      <c r="F23" t="s">
        <v>130</v>
      </c>
    </row>
    <row r="24" spans="1:7">
      <c r="A24" s="1" t="s">
        <v>92</v>
      </c>
      <c r="B24" t="str">
        <f t="shared" si="0"/>
        <v>CL-023</v>
      </c>
      <c r="C24" t="str">
        <f>_xlfn.XLOOKUP($F24,'03_Component'!$C:$C,'03_Component'!$B:$B)</f>
        <v>COMP-022</v>
      </c>
      <c r="D24">
        <f>_xlfn.XLOOKUP($G24,'02_Location'!$B:$B,'02_Location'!$A:$A)</f>
        <v>0</v>
      </c>
      <c r="F24" t="s">
        <v>131</v>
      </c>
    </row>
    <row r="25" spans="1:7">
      <c r="A25" s="1" t="s">
        <v>93</v>
      </c>
      <c r="B25" t="str">
        <f t="shared" si="0"/>
        <v>CL-024</v>
      </c>
      <c r="C25" t="str">
        <f>_xlfn.XLOOKUP($F25,'03_Component'!$C:$C,'03_Component'!$B:$B)</f>
        <v>COMP-023</v>
      </c>
      <c r="D25">
        <f>_xlfn.XLOOKUP($G25,'02_Location'!$B:$B,'02_Location'!$A:$A)</f>
        <v>0</v>
      </c>
      <c r="F25" t="s">
        <v>132</v>
      </c>
    </row>
    <row r="26" spans="1:7">
      <c r="A26" s="1" t="s">
        <v>94</v>
      </c>
      <c r="B26" t="str">
        <f t="shared" si="0"/>
        <v>CL-025</v>
      </c>
      <c r="C26" t="str">
        <f>_xlfn.XLOOKUP($F26,'03_Component'!$C:$C,'03_Component'!$B:$B)</f>
        <v>COMP-024</v>
      </c>
      <c r="D26">
        <f>_xlfn.XLOOKUP($G26,'02_Location'!$B:$B,'02_Location'!$A:$A)</f>
        <v>0</v>
      </c>
      <c r="F26" t="s">
        <v>51</v>
      </c>
    </row>
    <row r="27" spans="1:7">
      <c r="A27" s="1" t="s">
        <v>95</v>
      </c>
      <c r="B27" t="str">
        <f t="shared" si="0"/>
        <v>CL-026</v>
      </c>
      <c r="C27" t="str">
        <f>_xlfn.XLOOKUP($F27,'03_Component'!$C:$C,'03_Component'!$B:$B)</f>
        <v>COMP-025</v>
      </c>
      <c r="D27">
        <f>_xlfn.XLOOKUP($G27,'02_Location'!$B:$B,'02_Location'!$A:$A)</f>
        <v>0</v>
      </c>
      <c r="F27" t="s">
        <v>133</v>
      </c>
    </row>
    <row r="28" spans="1:7">
      <c r="A28" s="1" t="s">
        <v>96</v>
      </c>
      <c r="B28" t="str">
        <f t="shared" si="0"/>
        <v>CL-027</v>
      </c>
      <c r="C28" t="str">
        <f>_xlfn.XLOOKUP($F28,'03_Component'!$C:$C,'03_Component'!$B:$B)</f>
        <v>COMP-026</v>
      </c>
      <c r="D28">
        <f>_xlfn.XLOOKUP($G28,'02_Location'!$B:$B,'02_Location'!$A:$A)</f>
        <v>0</v>
      </c>
      <c r="F28" t="s">
        <v>134</v>
      </c>
    </row>
    <row r="29" spans="1:7">
      <c r="A29" s="1" t="s">
        <v>97</v>
      </c>
      <c r="B29" t="str">
        <f t="shared" si="0"/>
        <v>CL-028</v>
      </c>
      <c r="C29" t="str">
        <f>_xlfn.XLOOKUP($F29,'03_Component'!$C:$C,'03_Component'!$B:$B)</f>
        <v>COMP-027</v>
      </c>
      <c r="D29">
        <f>_xlfn.XLOOKUP($G29,'02_Location'!$B:$B,'02_Location'!$A:$A)</f>
        <v>0</v>
      </c>
      <c r="F29" t="s">
        <v>135</v>
      </c>
    </row>
    <row r="30" spans="1:7">
      <c r="A30" s="1" t="s">
        <v>98</v>
      </c>
      <c r="B30" t="str">
        <f t="shared" si="0"/>
        <v>CL-029</v>
      </c>
      <c r="C30" t="str">
        <f>_xlfn.XLOOKUP($F30,'03_Component'!$C:$C,'03_Component'!$B:$B)</f>
        <v>COMP-028</v>
      </c>
      <c r="D30">
        <f>_xlfn.XLOOKUP($G30,'02_Location'!$B:$B,'02_Location'!$A:$A)</f>
        <v>0</v>
      </c>
      <c r="F30" t="s">
        <v>136</v>
      </c>
    </row>
    <row r="31" spans="1:7">
      <c r="A31" s="1" t="s">
        <v>99</v>
      </c>
      <c r="B31" t="str">
        <f t="shared" si="0"/>
        <v>CL-030</v>
      </c>
      <c r="C31" t="str">
        <f>_xlfn.XLOOKUP($F31,'03_Component'!$C:$C,'03_Component'!$B:$B)</f>
        <v>COMP-029</v>
      </c>
      <c r="D31">
        <f>_xlfn.XLOOKUP($G31,'02_Location'!$B:$B,'02_Location'!$A:$A)</f>
        <v>0</v>
      </c>
      <c r="F31" t="s">
        <v>137</v>
      </c>
    </row>
    <row r="32" spans="1:7">
      <c r="A32" s="1" t="s">
        <v>100</v>
      </c>
      <c r="B32" t="str">
        <f t="shared" si="0"/>
        <v>CL-031</v>
      </c>
      <c r="C32" t="str">
        <f>_xlfn.XLOOKUP($F32,'03_Component'!$C:$C,'03_Component'!$B:$B)</f>
        <v>COMP-030</v>
      </c>
      <c r="D32">
        <f>_xlfn.XLOOKUP($G32,'02_Location'!$B:$B,'02_Location'!$A:$A)</f>
        <v>0</v>
      </c>
      <c r="F32" t="s">
        <v>138</v>
      </c>
    </row>
    <row r="33" spans="1:7">
      <c r="A33" s="1" t="s">
        <v>101</v>
      </c>
      <c r="B33" t="str">
        <f t="shared" si="0"/>
        <v>CL-032</v>
      </c>
      <c r="C33" t="str">
        <f>_xlfn.XLOOKUP($F33,'03_Component'!$C:$C,'03_Component'!$B:$B)</f>
        <v>COMP-031</v>
      </c>
      <c r="D33">
        <f>_xlfn.XLOOKUP($G33,'02_Location'!$B:$B,'02_Location'!$A:$A)</f>
        <v>0</v>
      </c>
      <c r="F33" t="s">
        <v>139</v>
      </c>
    </row>
    <row r="34" spans="1:7">
      <c r="A34" s="1" t="s">
        <v>102</v>
      </c>
      <c r="B34" t="str">
        <f t="shared" si="0"/>
        <v>CL-033</v>
      </c>
      <c r="C34" t="str">
        <f>_xlfn.XLOOKUP($F34,'03_Component'!$C:$C,'03_Component'!$B:$B)</f>
        <v>COMP-032</v>
      </c>
      <c r="D34">
        <f>_xlfn.XLOOKUP($G34,'02_Location'!$B:$B,'02_Location'!$A:$A)</f>
        <v>0</v>
      </c>
      <c r="F34" t="s">
        <v>140</v>
      </c>
    </row>
    <row r="35" spans="1:7">
      <c r="A35" s="1" t="s">
        <v>103</v>
      </c>
      <c r="B35" t="str">
        <f t="shared" si="0"/>
        <v>CL-034</v>
      </c>
      <c r="C35" t="str">
        <f>_xlfn.XLOOKUP($F35,'03_Component'!$C:$C,'03_Component'!$B:$B)</f>
        <v>COMP-033</v>
      </c>
      <c r="D35" t="str">
        <f>_xlfn.XLOOKUP($G35,'02_Location'!$B:$B,'02_Location'!$A:$A)</f>
        <v>LOC-002</v>
      </c>
      <c r="F35" t="s">
        <v>141</v>
      </c>
      <c r="G35" t="s">
        <v>564</v>
      </c>
    </row>
    <row r="36" spans="1:7">
      <c r="A36" s="1" t="s">
        <v>104</v>
      </c>
      <c r="B36" t="str">
        <f t="shared" si="0"/>
        <v>CL-035</v>
      </c>
      <c r="C36" t="str">
        <f>_xlfn.XLOOKUP($F36,'03_Component'!$C:$C,'03_Component'!$B:$B)</f>
        <v>COMP-034</v>
      </c>
      <c r="D36" t="str">
        <f>_xlfn.XLOOKUP($G36,'02_Location'!$B:$B,'02_Location'!$A:$A)</f>
        <v>LOC-009</v>
      </c>
      <c r="F36" t="s">
        <v>58</v>
      </c>
      <c r="G36" t="s">
        <v>560</v>
      </c>
    </row>
    <row r="37" spans="1:7">
      <c r="A37" s="1" t="s">
        <v>105</v>
      </c>
      <c r="B37" t="str">
        <f>_xlfn.CONCAT("CL-",A37)</f>
        <v>CL-036</v>
      </c>
      <c r="C37" t="str">
        <f>_xlfn.XLOOKUP($F37,'03_Component'!$C:$C,'03_Component'!$B:$B)</f>
        <v>COMP-034</v>
      </c>
      <c r="D37" t="str">
        <f>_xlfn.XLOOKUP($G37,'02_Location'!$B:$B,'02_Location'!$A:$A)</f>
        <v>LOC-002</v>
      </c>
      <c r="F37" t="s">
        <v>58</v>
      </c>
      <c r="G37" t="s">
        <v>564</v>
      </c>
    </row>
    <row r="38" spans="1:7">
      <c r="A38" s="1" t="s">
        <v>106</v>
      </c>
      <c r="B38" t="str">
        <f t="shared" si="0"/>
        <v>CL-037</v>
      </c>
      <c r="C38" t="str">
        <f>_xlfn.XLOOKUP($F38,'03_Component'!$C:$C,'03_Component'!$B:$B)</f>
        <v>COMP-035</v>
      </c>
      <c r="D38" t="str">
        <f>_xlfn.XLOOKUP($G38,'02_Location'!$B:$B,'02_Location'!$A:$A)</f>
        <v>LOC-007</v>
      </c>
      <c r="F38" t="s">
        <v>27</v>
      </c>
      <c r="G38" t="s">
        <v>567</v>
      </c>
    </row>
    <row r="39" spans="1:7">
      <c r="A39" s="1" t="s">
        <v>107</v>
      </c>
      <c r="B39" t="str">
        <f t="shared" si="0"/>
        <v>CL-038</v>
      </c>
      <c r="C39" t="str">
        <f>_xlfn.XLOOKUP($F39,'03_Component'!$C:$C,'03_Component'!$B:$B)</f>
        <v>COMP-035</v>
      </c>
      <c r="D39" t="str">
        <f>_xlfn.XLOOKUP($G39,'02_Location'!$B:$B,'02_Location'!$A:$A)</f>
        <v>LOC-009</v>
      </c>
      <c r="F39" t="s">
        <v>27</v>
      </c>
      <c r="G39" t="s">
        <v>560</v>
      </c>
    </row>
    <row r="40" spans="1:7">
      <c r="A40" s="1" t="s">
        <v>108</v>
      </c>
      <c r="B40" t="str">
        <f t="shared" si="0"/>
        <v>CL-039</v>
      </c>
      <c r="C40" t="str">
        <f>_xlfn.XLOOKUP($F40,'03_Component'!$C:$C,'03_Component'!$B:$B)</f>
        <v>COMP-035</v>
      </c>
      <c r="D40" t="str">
        <f>_xlfn.XLOOKUP($G40,'02_Location'!$B:$B,'02_Location'!$A:$A)</f>
        <v>LOC-006</v>
      </c>
      <c r="F40" t="s">
        <v>27</v>
      </c>
      <c r="G40" t="s">
        <v>561</v>
      </c>
    </row>
    <row r="41" spans="1:7">
      <c r="A41" s="1" t="s">
        <v>109</v>
      </c>
      <c r="B41" t="str">
        <f t="shared" si="0"/>
        <v>CL-040</v>
      </c>
      <c r="C41" t="str">
        <f>_xlfn.XLOOKUP($F41,'03_Component'!$C:$C,'03_Component'!$B:$B)</f>
        <v>COMP-036</v>
      </c>
      <c r="D41">
        <f>_xlfn.XLOOKUP($G41,'02_Location'!$B:$B,'02_Location'!$A:$A)</f>
        <v>0</v>
      </c>
      <c r="F41" t="s">
        <v>142</v>
      </c>
    </row>
    <row r="42" spans="1:7">
      <c r="A42" s="1" t="s">
        <v>110</v>
      </c>
      <c r="B42" t="str">
        <f t="shared" si="0"/>
        <v>CL-041</v>
      </c>
      <c r="C42" t="str">
        <f>_xlfn.XLOOKUP($F42,'03_Component'!$C:$C,'03_Component'!$B:$B)</f>
        <v>COMP-037</v>
      </c>
      <c r="D42" t="str">
        <f>_xlfn.XLOOKUP($G42,'02_Location'!$B:$B,'02_Location'!$A:$A)</f>
        <v>LOC-010</v>
      </c>
      <c r="F42" t="s">
        <v>143</v>
      </c>
      <c r="G42" t="s">
        <v>566</v>
      </c>
    </row>
    <row r="43" spans="1:7">
      <c r="A43" s="1" t="s">
        <v>111</v>
      </c>
      <c r="B43" t="str">
        <f t="shared" si="0"/>
        <v>CL-042</v>
      </c>
      <c r="C43" t="str">
        <f>_xlfn.XLOOKUP($F43,'03_Component'!$C:$C,'03_Component'!$B:$B)</f>
        <v>COMP-038</v>
      </c>
      <c r="D43">
        <f>_xlfn.XLOOKUP($G43,'02_Location'!$B:$B,'02_Location'!$A:$A)</f>
        <v>0</v>
      </c>
      <c r="F43" t="s">
        <v>144</v>
      </c>
    </row>
    <row r="44" spans="1:7">
      <c r="A44" s="1" t="s">
        <v>112</v>
      </c>
      <c r="B44" t="str">
        <f t="shared" si="0"/>
        <v>CL-043</v>
      </c>
      <c r="C44" t="str">
        <f>_xlfn.XLOOKUP($F44,'03_Component'!$C:$C,'03_Component'!$B:$B)</f>
        <v>COMP-039</v>
      </c>
      <c r="D44">
        <f>_xlfn.XLOOKUP($G44,'02_Location'!$B:$B,'02_Location'!$A:$A)</f>
        <v>0</v>
      </c>
      <c r="F44" t="s">
        <v>145</v>
      </c>
    </row>
    <row r="45" spans="1:7">
      <c r="A45" s="1" t="s">
        <v>113</v>
      </c>
      <c r="B45" t="str">
        <f t="shared" si="0"/>
        <v>CL-044</v>
      </c>
      <c r="C45" t="str">
        <f>_xlfn.XLOOKUP($F45,'03_Component'!$C:$C,'03_Component'!$B:$B)</f>
        <v>COMP-040</v>
      </c>
      <c r="D45">
        <f>_xlfn.XLOOKUP($G45,'02_Location'!$B:$B,'02_Location'!$A:$A)</f>
        <v>0</v>
      </c>
      <c r="F45" t="s">
        <v>146</v>
      </c>
    </row>
    <row r="46" spans="1:7">
      <c r="A46" s="1" t="s">
        <v>114</v>
      </c>
      <c r="B46" t="str">
        <f t="shared" si="0"/>
        <v>CL-045</v>
      </c>
      <c r="C46" t="str">
        <f>_xlfn.XLOOKUP($F46,'03_Component'!$C:$C,'03_Component'!$B:$B)</f>
        <v>COMP-041</v>
      </c>
      <c r="D46" t="str">
        <f>_xlfn.XLOOKUP($G46,'02_Location'!$B:$B,'02_Location'!$A:$A)</f>
        <v>LOC-007</v>
      </c>
      <c r="F46" t="s">
        <v>16</v>
      </c>
      <c r="G46" t="s">
        <v>567</v>
      </c>
    </row>
    <row r="47" spans="1:7">
      <c r="A47" s="1" t="s">
        <v>115</v>
      </c>
      <c r="B47" t="str">
        <f t="shared" si="0"/>
        <v>CL-046</v>
      </c>
      <c r="C47" t="str">
        <f>_xlfn.XLOOKUP($F47,'03_Component'!$C:$C,'03_Component'!$B:$B)</f>
        <v>COMP-042</v>
      </c>
      <c r="D47" t="str">
        <f>_xlfn.XLOOKUP($G47,'02_Location'!$B:$B,'02_Location'!$A:$A)</f>
        <v>LOC-010</v>
      </c>
      <c r="F47" t="s">
        <v>14</v>
      </c>
      <c r="G47" t="s">
        <v>566</v>
      </c>
    </row>
    <row r="48" spans="1:7">
      <c r="A48" s="1" t="s">
        <v>116</v>
      </c>
      <c r="B48" t="str">
        <f t="shared" si="0"/>
        <v>CL-047</v>
      </c>
      <c r="C48" t="str">
        <f>_xlfn.XLOOKUP($F48,'03_Component'!$C:$C,'03_Component'!$B:$B)</f>
        <v>COMP-042</v>
      </c>
      <c r="D48" t="str">
        <f>_xlfn.XLOOKUP($G48,'02_Location'!$B:$B,'02_Location'!$A:$A)</f>
        <v>LOC-005</v>
      </c>
      <c r="F48" t="s">
        <v>14</v>
      </c>
      <c r="G48" t="s">
        <v>562</v>
      </c>
    </row>
    <row r="49" spans="1:7">
      <c r="A49" s="1" t="s">
        <v>117</v>
      </c>
      <c r="B49" t="str">
        <f t="shared" si="0"/>
        <v>CL-048</v>
      </c>
      <c r="C49" t="str">
        <f>_xlfn.XLOOKUP($F49,'03_Component'!$C:$C,'03_Component'!$B:$B)</f>
        <v>COMP-043</v>
      </c>
      <c r="D49">
        <f>_xlfn.XLOOKUP($G49,'02_Location'!$B:$B,'02_Location'!$A:$A)</f>
        <v>0</v>
      </c>
      <c r="F49" t="s">
        <v>147</v>
      </c>
    </row>
    <row r="50" spans="1:7">
      <c r="A50" s="1" t="s">
        <v>118</v>
      </c>
      <c r="B50" t="str">
        <f t="shared" si="0"/>
        <v>CL-049</v>
      </c>
      <c r="C50" t="str">
        <f>_xlfn.XLOOKUP($F50,'03_Component'!$C:$C,'03_Component'!$B:$B)</f>
        <v>COMP-044</v>
      </c>
      <c r="D50">
        <f>_xlfn.XLOOKUP($G50,'02_Location'!$B:$B,'02_Location'!$A:$A)</f>
        <v>0</v>
      </c>
      <c r="F50" t="s">
        <v>148</v>
      </c>
    </row>
    <row r="51" spans="1:7">
      <c r="A51" s="1" t="s">
        <v>119</v>
      </c>
      <c r="B51" t="str">
        <f t="shared" si="0"/>
        <v>CL-050</v>
      </c>
      <c r="C51" t="str">
        <f>_xlfn.XLOOKUP($F51,'03_Component'!$C:$C,'03_Component'!$B:$B)</f>
        <v>COMP-045</v>
      </c>
      <c r="D51">
        <f>_xlfn.XLOOKUP($G51,'02_Location'!$B:$B,'02_Location'!$A:$A)</f>
        <v>0</v>
      </c>
      <c r="F51" t="s">
        <v>149</v>
      </c>
    </row>
    <row r="52" spans="1:7">
      <c r="A52" s="1" t="s">
        <v>245</v>
      </c>
      <c r="B52" t="str">
        <f t="shared" si="0"/>
        <v>CL-051</v>
      </c>
      <c r="C52" t="str">
        <f>_xlfn.XLOOKUP($F52,'03_Component'!$C:$C,'03_Component'!$B:$B)</f>
        <v>COMP-046</v>
      </c>
      <c r="D52">
        <f>_xlfn.XLOOKUP($G52,'02_Location'!$B:$B,'02_Location'!$A:$A)</f>
        <v>0</v>
      </c>
      <c r="F52" t="s">
        <v>150</v>
      </c>
    </row>
    <row r="53" spans="1:7">
      <c r="A53" s="1" t="s">
        <v>246</v>
      </c>
      <c r="B53" t="str">
        <f t="shared" si="0"/>
        <v>CL-052</v>
      </c>
      <c r="C53" t="str">
        <f>_xlfn.XLOOKUP($F53,'03_Component'!$C:$C,'03_Component'!$B:$B)</f>
        <v>COMP-047</v>
      </c>
      <c r="D53" t="str">
        <f>_xlfn.XLOOKUP($G53,'02_Location'!$B:$B,'02_Location'!$A:$A)</f>
        <v>LOC-011</v>
      </c>
      <c r="F53" t="s">
        <v>19</v>
      </c>
      <c r="G53" t="s">
        <v>568</v>
      </c>
    </row>
    <row r="54" spans="1:7">
      <c r="A54" s="1" t="s">
        <v>247</v>
      </c>
      <c r="B54" t="str">
        <f t="shared" si="0"/>
        <v>CL-053</v>
      </c>
      <c r="C54" t="str">
        <f>_xlfn.XLOOKUP($F54,'03_Component'!$C:$C,'03_Component'!$B:$B)</f>
        <v>COMP-048</v>
      </c>
      <c r="D54">
        <f>_xlfn.XLOOKUP($G54,'02_Location'!$B:$B,'02_Location'!$A:$A)</f>
        <v>0</v>
      </c>
      <c r="F54" t="s">
        <v>151</v>
      </c>
    </row>
    <row r="55" spans="1:7">
      <c r="A55" s="1" t="s">
        <v>248</v>
      </c>
      <c r="B55" t="str">
        <f t="shared" si="0"/>
        <v>CL-054</v>
      </c>
      <c r="C55" t="str">
        <f>_xlfn.XLOOKUP($F55,'03_Component'!$C:$C,'03_Component'!$B:$B)</f>
        <v>COMP-049</v>
      </c>
      <c r="D55">
        <f>_xlfn.XLOOKUP($G55,'02_Location'!$B:$B,'02_Location'!$A:$A)</f>
        <v>0</v>
      </c>
      <c r="F55" t="s">
        <v>152</v>
      </c>
    </row>
    <row r="56" spans="1:7">
      <c r="A56" s="1" t="s">
        <v>249</v>
      </c>
      <c r="B56" t="str">
        <f t="shared" si="0"/>
        <v>CL-055</v>
      </c>
      <c r="C56" t="str">
        <f>_xlfn.XLOOKUP($F56,'03_Component'!$C:$C,'03_Component'!$B:$B)</f>
        <v>COMP-050</v>
      </c>
      <c r="D56">
        <f>_xlfn.XLOOKUP($G56,'02_Location'!$B:$B,'02_Location'!$A:$A)</f>
        <v>0</v>
      </c>
      <c r="F56" t="s">
        <v>153</v>
      </c>
    </row>
    <row r="57" spans="1:7">
      <c r="A57" s="1" t="s">
        <v>250</v>
      </c>
      <c r="B57" t="str">
        <f t="shared" si="0"/>
        <v>CL-056</v>
      </c>
      <c r="C57" t="str">
        <f>_xlfn.XLOOKUP($F57,'03_Component'!$C:$C,'03_Component'!$B:$B)</f>
        <v>COMP-051</v>
      </c>
      <c r="D57">
        <f>_xlfn.XLOOKUP($G57,'02_Location'!$B:$B,'02_Location'!$A:$A)</f>
        <v>0</v>
      </c>
      <c r="F57" t="s">
        <v>154</v>
      </c>
    </row>
    <row r="58" spans="1:7">
      <c r="A58" s="1" t="s">
        <v>251</v>
      </c>
      <c r="B58" t="str">
        <f t="shared" si="0"/>
        <v>CL-057</v>
      </c>
      <c r="C58" t="str">
        <f>_xlfn.XLOOKUP($F58,'03_Component'!$C:$C,'03_Component'!$B:$B)</f>
        <v>COMP-052</v>
      </c>
      <c r="D58">
        <f>_xlfn.XLOOKUP($G58,'02_Location'!$B:$B,'02_Location'!$A:$A)</f>
        <v>0</v>
      </c>
      <c r="F58" t="s">
        <v>155</v>
      </c>
    </row>
    <row r="59" spans="1:7">
      <c r="A59" s="1" t="s">
        <v>252</v>
      </c>
      <c r="B59" t="str">
        <f t="shared" si="0"/>
        <v>CL-058</v>
      </c>
      <c r="C59" t="str">
        <f>_xlfn.XLOOKUP($F59,'03_Component'!$C:$C,'03_Component'!$B:$B)</f>
        <v>COMP-053</v>
      </c>
      <c r="D59">
        <f>_xlfn.XLOOKUP($G59,'02_Location'!$B:$B,'02_Location'!$A:$A)</f>
        <v>0</v>
      </c>
      <c r="F59" t="s">
        <v>156</v>
      </c>
    </row>
    <row r="60" spans="1:7">
      <c r="A60" s="1" t="s">
        <v>253</v>
      </c>
      <c r="B60" t="str">
        <f t="shared" si="0"/>
        <v>CL-059</v>
      </c>
      <c r="C60" t="str">
        <f>_xlfn.XLOOKUP($F60,'03_Component'!$C:$C,'03_Component'!$B:$B)</f>
        <v>COMP-054</v>
      </c>
      <c r="D60">
        <f>_xlfn.XLOOKUP($G60,'02_Location'!$B:$B,'02_Location'!$A:$A)</f>
        <v>0</v>
      </c>
      <c r="F60" t="s">
        <v>157</v>
      </c>
    </row>
    <row r="61" spans="1:7">
      <c r="A61" s="1" t="s">
        <v>254</v>
      </c>
      <c r="B61" t="str">
        <f t="shared" si="0"/>
        <v>CL-060</v>
      </c>
      <c r="C61" t="str">
        <f>_xlfn.XLOOKUP($F61,'03_Component'!$C:$C,'03_Component'!$B:$B)</f>
        <v>COMP-055</v>
      </c>
      <c r="D61">
        <f>_xlfn.XLOOKUP($G61,'02_Location'!$B:$B,'02_Location'!$A:$A)</f>
        <v>0</v>
      </c>
      <c r="F61" t="s">
        <v>53</v>
      </c>
    </row>
    <row r="62" spans="1:7">
      <c r="A62" s="1" t="s">
        <v>255</v>
      </c>
      <c r="B62" t="str">
        <f t="shared" si="0"/>
        <v>CL-061</v>
      </c>
      <c r="C62" t="str">
        <f>_xlfn.XLOOKUP($F62,'03_Component'!$C:$C,'03_Component'!$B:$B)</f>
        <v>COMP-056</v>
      </c>
      <c r="D62">
        <f>_xlfn.XLOOKUP($G62,'02_Location'!$B:$B,'02_Location'!$A:$A)</f>
        <v>0</v>
      </c>
      <c r="F62" t="s">
        <v>158</v>
      </c>
    </row>
    <row r="63" spans="1:7">
      <c r="A63" s="1" t="s">
        <v>256</v>
      </c>
      <c r="B63" t="str">
        <f t="shared" si="0"/>
        <v>CL-062</v>
      </c>
      <c r="C63" t="str">
        <f>_xlfn.XLOOKUP($F63,'03_Component'!$C:$C,'03_Component'!$B:$B)</f>
        <v>COMP-057</v>
      </c>
      <c r="D63" t="str">
        <f>_xlfn.XLOOKUP($G63,'02_Location'!$B:$B,'02_Location'!$A:$A)</f>
        <v>LOC-009</v>
      </c>
      <c r="F63" t="s">
        <v>159</v>
      </c>
      <c r="G63" t="s">
        <v>560</v>
      </c>
    </row>
    <row r="64" spans="1:7">
      <c r="A64" s="1" t="s">
        <v>257</v>
      </c>
      <c r="B64" t="str">
        <f>_xlfn.CONCAT("CL-",A64)</f>
        <v>CL-063</v>
      </c>
      <c r="C64" t="str">
        <f>_xlfn.XLOOKUP($F64,'03_Component'!$C:$C,'03_Component'!$B:$B)</f>
        <v>COMP-057</v>
      </c>
      <c r="D64" t="str">
        <f>_xlfn.XLOOKUP($G64,'02_Location'!$B:$B,'02_Location'!$A:$A)</f>
        <v>LOC-002</v>
      </c>
      <c r="F64" t="s">
        <v>159</v>
      </c>
      <c r="G64" t="s">
        <v>564</v>
      </c>
    </row>
    <row r="65" spans="1:7">
      <c r="A65" s="1" t="s">
        <v>258</v>
      </c>
      <c r="B65" t="str">
        <f t="shared" si="0"/>
        <v>CL-064</v>
      </c>
      <c r="C65" t="str">
        <f>_xlfn.XLOOKUP($F65,'03_Component'!$C:$C,'03_Component'!$B:$B)</f>
        <v>COMP-058</v>
      </c>
      <c r="D65" t="str">
        <f>_xlfn.XLOOKUP($G65,'02_Location'!$B:$B,'02_Location'!$A:$A)</f>
        <v>LOC-007</v>
      </c>
      <c r="F65" t="s">
        <v>17</v>
      </c>
      <c r="G65" t="s">
        <v>567</v>
      </c>
    </row>
    <row r="66" spans="1:7">
      <c r="A66" s="1" t="s">
        <v>259</v>
      </c>
      <c r="B66" t="str">
        <f t="shared" si="0"/>
        <v>CL-065</v>
      </c>
      <c r="C66" t="str">
        <f>_xlfn.XLOOKUP($F66,'03_Component'!$C:$C,'03_Component'!$B:$B)</f>
        <v>COMP-058</v>
      </c>
      <c r="D66" t="str">
        <f>_xlfn.XLOOKUP($G66,'02_Location'!$B:$B,'02_Location'!$A:$A)</f>
        <v>LOC-002</v>
      </c>
      <c r="F66" t="s">
        <v>17</v>
      </c>
      <c r="G66" t="s">
        <v>564</v>
      </c>
    </row>
    <row r="67" spans="1:7">
      <c r="A67" s="1" t="s">
        <v>260</v>
      </c>
      <c r="B67" t="str">
        <f t="shared" si="0"/>
        <v>CL-066</v>
      </c>
      <c r="C67" t="str">
        <f>_xlfn.XLOOKUP($F67,'03_Component'!$C:$C,'03_Component'!$B:$B)</f>
        <v>COMP-059</v>
      </c>
      <c r="D67" t="str">
        <f>_xlfn.XLOOKUP($G67,'02_Location'!$B:$B,'02_Location'!$A:$A)</f>
        <v>LOC-003</v>
      </c>
      <c r="F67" t="s">
        <v>11</v>
      </c>
      <c r="G67" t="s">
        <v>563</v>
      </c>
    </row>
    <row r="68" spans="1:7">
      <c r="A68" s="1" t="s">
        <v>261</v>
      </c>
      <c r="B68" t="str">
        <f t="shared" si="0"/>
        <v>CL-067</v>
      </c>
      <c r="C68" t="str">
        <f>_xlfn.XLOOKUP($F68,'03_Component'!$C:$C,'03_Component'!$B:$B)</f>
        <v>COMP-060</v>
      </c>
      <c r="D68">
        <f>_xlfn.XLOOKUP($G68,'02_Location'!$B:$B,'02_Location'!$A:$A)</f>
        <v>0</v>
      </c>
      <c r="F68" t="s">
        <v>160</v>
      </c>
    </row>
    <row r="69" spans="1:7">
      <c r="A69" s="1" t="s">
        <v>262</v>
      </c>
      <c r="B69" t="str">
        <f t="shared" si="0"/>
        <v>CL-068</v>
      </c>
      <c r="C69" t="str">
        <f>_xlfn.XLOOKUP($F69,'03_Component'!$C:$C,'03_Component'!$B:$B)</f>
        <v>COMP-061</v>
      </c>
      <c r="D69" t="str">
        <f>_xlfn.XLOOKUP($G69,'02_Location'!$B:$B,'02_Location'!$A:$A)</f>
        <v>LOC-004</v>
      </c>
      <c r="F69" t="s">
        <v>161</v>
      </c>
      <c r="G69" t="s">
        <v>565</v>
      </c>
    </row>
    <row r="70" spans="1:7">
      <c r="A70" s="1" t="s">
        <v>263</v>
      </c>
      <c r="B70" t="str">
        <f t="shared" ref="B70:B137" si="1">_xlfn.CONCAT("CL-",A70)</f>
        <v>CL-069</v>
      </c>
      <c r="C70" t="str">
        <f>_xlfn.XLOOKUP($F70,'03_Component'!$C:$C,'03_Component'!$B:$B)</f>
        <v>COMP-062</v>
      </c>
      <c r="D70">
        <f>_xlfn.XLOOKUP($G70,'02_Location'!$B:$B,'02_Location'!$A:$A)</f>
        <v>0</v>
      </c>
      <c r="F70" t="s">
        <v>162</v>
      </c>
    </row>
    <row r="71" spans="1:7">
      <c r="A71" s="1" t="s">
        <v>264</v>
      </c>
      <c r="B71" t="str">
        <f t="shared" si="1"/>
        <v>CL-070</v>
      </c>
      <c r="C71" t="str">
        <f>_xlfn.XLOOKUP($F71,'03_Component'!$C:$C,'03_Component'!$B:$B)</f>
        <v>COMP-063</v>
      </c>
      <c r="D71">
        <f>_xlfn.XLOOKUP($G71,'02_Location'!$B:$B,'02_Location'!$A:$A)</f>
        <v>0</v>
      </c>
      <c r="F71" t="s">
        <v>163</v>
      </c>
    </row>
    <row r="72" spans="1:7">
      <c r="A72" s="1" t="s">
        <v>265</v>
      </c>
      <c r="B72" t="str">
        <f t="shared" si="1"/>
        <v>CL-071</v>
      </c>
      <c r="C72" t="str">
        <f>_xlfn.XLOOKUP($F72,'03_Component'!$C:$C,'03_Component'!$B:$B)</f>
        <v>COMP-064</v>
      </c>
      <c r="D72" t="str">
        <f>_xlfn.XLOOKUP($G72,'02_Location'!$B:$B,'02_Location'!$A:$A)</f>
        <v>LOC-005</v>
      </c>
      <c r="F72" t="s">
        <v>42</v>
      </c>
      <c r="G72" t="s">
        <v>562</v>
      </c>
    </row>
    <row r="73" spans="1:7">
      <c r="A73" s="1" t="s">
        <v>266</v>
      </c>
      <c r="B73" t="str">
        <f>_xlfn.CONCAT("CL-",A73)</f>
        <v>CL-072</v>
      </c>
      <c r="C73" t="str">
        <f>_xlfn.XLOOKUP($F73,'03_Component'!$C:$C,'03_Component'!$B:$B)</f>
        <v>COMP-064</v>
      </c>
      <c r="D73" t="str">
        <f>_xlfn.XLOOKUP($G73,'02_Location'!$B:$B,'02_Location'!$A:$A)</f>
        <v>LOC-010</v>
      </c>
      <c r="F73" t="s">
        <v>42</v>
      </c>
      <c r="G73" t="s">
        <v>566</v>
      </c>
    </row>
    <row r="74" spans="1:7">
      <c r="A74" s="1" t="s">
        <v>267</v>
      </c>
      <c r="B74" t="str">
        <f t="shared" si="1"/>
        <v>CL-073</v>
      </c>
      <c r="C74" t="str">
        <f>_xlfn.XLOOKUP($F74,'03_Component'!$C:$C,'03_Component'!$B:$B)</f>
        <v>COMP-065</v>
      </c>
      <c r="D74" t="str">
        <f>_xlfn.XLOOKUP($G74,'02_Location'!$B:$B,'02_Location'!$A:$A)</f>
        <v>LOC-002</v>
      </c>
      <c r="F74" t="s">
        <v>25</v>
      </c>
      <c r="G74" t="s">
        <v>564</v>
      </c>
    </row>
    <row r="75" spans="1:7">
      <c r="A75" s="1" t="s">
        <v>268</v>
      </c>
      <c r="B75" t="str">
        <f t="shared" si="1"/>
        <v>CL-074</v>
      </c>
      <c r="C75" t="str">
        <f>_xlfn.XLOOKUP($F75,'03_Component'!$C:$C,'03_Component'!$B:$B)</f>
        <v>COMP-065</v>
      </c>
      <c r="D75" t="str">
        <f>_xlfn.XLOOKUP($G75,'02_Location'!$B:$B,'02_Location'!$A:$A)</f>
        <v>LOC-007</v>
      </c>
      <c r="F75" t="s">
        <v>25</v>
      </c>
      <c r="G75" t="s">
        <v>567</v>
      </c>
    </row>
    <row r="76" spans="1:7" s="2" customFormat="1">
      <c r="A76" s="1" t="s">
        <v>269</v>
      </c>
      <c r="B76" t="str">
        <f t="shared" si="1"/>
        <v>CL-075</v>
      </c>
      <c r="C76" t="str">
        <f>_xlfn.XLOOKUP($F76,'03_Component'!$C:$C,'03_Component'!$B:$B)</f>
        <v>COMP-065</v>
      </c>
      <c r="D76" t="str">
        <f>_xlfn.XLOOKUP($G76,'02_Location'!$B:$B,'02_Location'!$A:$A)</f>
        <v>LOC-009</v>
      </c>
      <c r="E76"/>
      <c r="F76" t="s">
        <v>25</v>
      </c>
      <c r="G76" t="s">
        <v>560</v>
      </c>
    </row>
    <row r="77" spans="1:7">
      <c r="A77" s="1" t="s">
        <v>270</v>
      </c>
      <c r="B77" t="str">
        <f t="shared" si="1"/>
        <v>CL-076</v>
      </c>
      <c r="C77" t="str">
        <f>_xlfn.XLOOKUP($F77,'03_Component'!$C:$C,'03_Component'!$B:$B)</f>
        <v>COMP-066</v>
      </c>
      <c r="D77">
        <f>_xlfn.XLOOKUP($G77,'02_Location'!$B:$B,'02_Location'!$A:$A)</f>
        <v>0</v>
      </c>
      <c r="F77" t="s">
        <v>164</v>
      </c>
    </row>
    <row r="78" spans="1:7">
      <c r="A78" s="1" t="s">
        <v>271</v>
      </c>
      <c r="B78" t="str">
        <f t="shared" si="1"/>
        <v>CL-077</v>
      </c>
      <c r="C78" t="str">
        <f>_xlfn.XLOOKUP($F78,'03_Component'!$C:$C,'03_Component'!$B:$B)</f>
        <v>COMP-067</v>
      </c>
      <c r="D78">
        <f>_xlfn.XLOOKUP($G78,'02_Location'!$B:$B,'02_Location'!$A:$A)</f>
        <v>0</v>
      </c>
      <c r="F78" t="s">
        <v>165</v>
      </c>
    </row>
    <row r="79" spans="1:7">
      <c r="A79" s="1" t="s">
        <v>272</v>
      </c>
      <c r="B79" t="str">
        <f t="shared" si="1"/>
        <v>CL-078</v>
      </c>
      <c r="C79" t="str">
        <f>_xlfn.XLOOKUP($F79,'03_Component'!$C:$C,'03_Component'!$B:$B)</f>
        <v>COMP-068</v>
      </c>
      <c r="D79">
        <f>_xlfn.XLOOKUP($G79,'02_Location'!$B:$B,'02_Location'!$A:$A)</f>
        <v>0</v>
      </c>
      <c r="F79" t="s">
        <v>166</v>
      </c>
    </row>
    <row r="80" spans="1:7">
      <c r="A80" s="1" t="s">
        <v>273</v>
      </c>
      <c r="B80" t="str">
        <f t="shared" si="1"/>
        <v>CL-079</v>
      </c>
      <c r="C80" t="str">
        <f>_xlfn.XLOOKUP($F80,'03_Component'!$C:$C,'03_Component'!$B:$B)</f>
        <v>COMP-069</v>
      </c>
      <c r="D80">
        <f>_xlfn.XLOOKUP($G80,'02_Location'!$B:$B,'02_Location'!$A:$A)</f>
        <v>0</v>
      </c>
      <c r="F80" t="s">
        <v>167</v>
      </c>
    </row>
    <row r="81" spans="1:7">
      <c r="A81" s="1" t="s">
        <v>274</v>
      </c>
      <c r="B81" t="str">
        <f t="shared" si="1"/>
        <v>CL-080</v>
      </c>
      <c r="C81" t="str">
        <f>_xlfn.XLOOKUP($F81,'03_Component'!$C:$C,'03_Component'!$B:$B)</f>
        <v>COMP-070</v>
      </c>
      <c r="D81" t="str">
        <f>_xlfn.XLOOKUP($G81,'02_Location'!$B:$B,'02_Location'!$A:$A)</f>
        <v>LOC-001</v>
      </c>
      <c r="F81" t="s">
        <v>3</v>
      </c>
      <c r="G81" t="s">
        <v>2</v>
      </c>
    </row>
    <row r="82" spans="1:7">
      <c r="A82" s="1" t="s">
        <v>275</v>
      </c>
      <c r="B82" t="str">
        <f t="shared" si="1"/>
        <v>CL-081</v>
      </c>
      <c r="C82" t="str">
        <f>_xlfn.XLOOKUP($F82,'03_Component'!$C:$C,'03_Component'!$B:$B)</f>
        <v>COMP-071</v>
      </c>
      <c r="D82" t="str">
        <f>_xlfn.XLOOKUP($G82,'02_Location'!$B:$B,'02_Location'!$A:$A)</f>
        <v>LOC-011</v>
      </c>
      <c r="F82" t="s">
        <v>45</v>
      </c>
      <c r="G82" t="s">
        <v>568</v>
      </c>
    </row>
    <row r="83" spans="1:7">
      <c r="A83" s="1" t="s">
        <v>276</v>
      </c>
      <c r="B83" t="str">
        <f t="shared" si="1"/>
        <v>CL-082</v>
      </c>
      <c r="C83" t="str">
        <f>_xlfn.XLOOKUP($F83,'03_Component'!$C:$C,'03_Component'!$B:$B)</f>
        <v>COMP-072</v>
      </c>
      <c r="D83">
        <f>_xlfn.XLOOKUP($G83,'02_Location'!$B:$B,'02_Location'!$A:$A)</f>
        <v>0</v>
      </c>
      <c r="F83" t="s">
        <v>168</v>
      </c>
    </row>
    <row r="84" spans="1:7">
      <c r="A84" s="1" t="s">
        <v>277</v>
      </c>
      <c r="B84" t="str">
        <f t="shared" si="1"/>
        <v>CL-083</v>
      </c>
      <c r="C84" t="str">
        <f>_xlfn.XLOOKUP($F84,'03_Component'!$C:$C,'03_Component'!$B:$B)</f>
        <v>COMP-073</v>
      </c>
      <c r="D84">
        <f>_xlfn.XLOOKUP($G84,'02_Location'!$B:$B,'02_Location'!$A:$A)</f>
        <v>0</v>
      </c>
      <c r="F84" t="s">
        <v>169</v>
      </c>
    </row>
    <row r="85" spans="1:7">
      <c r="A85" s="1" t="s">
        <v>278</v>
      </c>
      <c r="B85" t="str">
        <f t="shared" si="1"/>
        <v>CL-084</v>
      </c>
      <c r="C85" t="str">
        <f>_xlfn.XLOOKUP($F85,'03_Component'!$C:$C,'03_Component'!$B:$B)</f>
        <v>COMP-074</v>
      </c>
      <c r="D85" t="str">
        <f>_xlfn.XLOOKUP($G85,'02_Location'!$B:$B,'02_Location'!$A:$A)</f>
        <v>LOC-008</v>
      </c>
      <c r="F85" t="s">
        <v>170</v>
      </c>
      <c r="G85" t="s">
        <v>569</v>
      </c>
    </row>
    <row r="86" spans="1:7">
      <c r="A86" s="1" t="s">
        <v>279</v>
      </c>
      <c r="B86" t="str">
        <f t="shared" si="1"/>
        <v>CL-085</v>
      </c>
      <c r="C86" t="str">
        <f>_xlfn.XLOOKUP($F86,'03_Component'!$C:$C,'03_Component'!$B:$B)</f>
        <v>COMP-075</v>
      </c>
      <c r="D86">
        <f>_xlfn.XLOOKUP($G86,'02_Location'!$B:$B,'02_Location'!$A:$A)</f>
        <v>0</v>
      </c>
      <c r="F86" t="s">
        <v>171</v>
      </c>
    </row>
    <row r="87" spans="1:7">
      <c r="A87" s="1" t="s">
        <v>280</v>
      </c>
      <c r="B87" t="str">
        <f t="shared" si="1"/>
        <v>CL-086</v>
      </c>
      <c r="C87" t="str">
        <f>_xlfn.XLOOKUP($F87,'03_Component'!$C:$C,'03_Component'!$B:$B)</f>
        <v>COMP-076</v>
      </c>
      <c r="D87" t="str">
        <f>_xlfn.XLOOKUP($G87,'02_Location'!$B:$B,'02_Location'!$A:$A)</f>
        <v>LOC-010</v>
      </c>
      <c r="F87" t="s">
        <v>172</v>
      </c>
      <c r="G87" t="s">
        <v>566</v>
      </c>
    </row>
    <row r="88" spans="1:7">
      <c r="A88" s="1" t="s">
        <v>281</v>
      </c>
      <c r="B88" t="str">
        <f>_xlfn.CONCAT("CL-",A88)</f>
        <v>CL-087</v>
      </c>
      <c r="C88" t="str">
        <f>_xlfn.XLOOKUP($F88,'03_Component'!$C:$C,'03_Component'!$B:$B)</f>
        <v>COMP-076</v>
      </c>
      <c r="D88" t="str">
        <f>_xlfn.XLOOKUP($G88,'02_Location'!$B:$B,'02_Location'!$A:$A)</f>
        <v>LOC-012</v>
      </c>
      <c r="F88" t="s">
        <v>172</v>
      </c>
      <c r="G88" t="s">
        <v>904</v>
      </c>
    </row>
    <row r="89" spans="1:7">
      <c r="A89" s="1" t="s">
        <v>282</v>
      </c>
      <c r="B89" t="str">
        <f t="shared" si="1"/>
        <v>CL-088</v>
      </c>
      <c r="C89" t="str">
        <f>_xlfn.XLOOKUP($F89,'03_Component'!$C:$C,'03_Component'!$B:$B)</f>
        <v>COMP-077</v>
      </c>
      <c r="D89" t="str">
        <f>_xlfn.XLOOKUP($G89,'02_Location'!$B:$B,'02_Location'!$A:$A)</f>
        <v>LOC-001</v>
      </c>
      <c r="F89" t="s">
        <v>12</v>
      </c>
      <c r="G89" t="s">
        <v>2</v>
      </c>
    </row>
    <row r="90" spans="1:7">
      <c r="A90" s="1" t="s">
        <v>283</v>
      </c>
      <c r="B90" t="str">
        <f t="shared" si="1"/>
        <v>CL-089</v>
      </c>
      <c r="C90" t="str">
        <f>_xlfn.XLOOKUP($F90,'03_Component'!$C:$C,'03_Component'!$B:$B)</f>
        <v>COMP-078</v>
      </c>
      <c r="D90">
        <f>_xlfn.XLOOKUP($G90,'02_Location'!$B:$B,'02_Location'!$A:$A)</f>
        <v>0</v>
      </c>
      <c r="F90" t="s">
        <v>173</v>
      </c>
    </row>
    <row r="91" spans="1:7">
      <c r="A91" s="1" t="s">
        <v>284</v>
      </c>
      <c r="B91" t="str">
        <f t="shared" si="1"/>
        <v>CL-090</v>
      </c>
      <c r="C91" t="str">
        <f>_xlfn.XLOOKUP($F91,'03_Component'!$C:$C,'03_Component'!$B:$B)</f>
        <v>COMP-079</v>
      </c>
      <c r="D91">
        <f>_xlfn.XLOOKUP($G91,'02_Location'!$B:$B,'02_Location'!$A:$A)</f>
        <v>0</v>
      </c>
      <c r="F91" t="s">
        <v>174</v>
      </c>
    </row>
    <row r="92" spans="1:7">
      <c r="A92" s="1" t="s">
        <v>285</v>
      </c>
      <c r="B92" t="str">
        <f t="shared" si="1"/>
        <v>CL-091</v>
      </c>
      <c r="C92" t="str">
        <f>_xlfn.XLOOKUP($F92,'03_Component'!$C:$C,'03_Component'!$B:$B)</f>
        <v>COMP-080</v>
      </c>
      <c r="D92">
        <f>_xlfn.XLOOKUP($G92,'02_Location'!$B:$B,'02_Location'!$A:$A)</f>
        <v>0</v>
      </c>
      <c r="F92" t="s">
        <v>175</v>
      </c>
    </row>
    <row r="93" spans="1:7">
      <c r="A93" s="1" t="s">
        <v>286</v>
      </c>
      <c r="B93" t="str">
        <f t="shared" si="1"/>
        <v>CL-092</v>
      </c>
      <c r="C93" t="str">
        <f>_xlfn.XLOOKUP($F93,'03_Component'!$C:$C,'03_Component'!$B:$B)</f>
        <v>COMP-081</v>
      </c>
      <c r="D93">
        <f>_xlfn.XLOOKUP($G93,'02_Location'!$B:$B,'02_Location'!$A:$A)</f>
        <v>0</v>
      </c>
      <c r="F93" t="s">
        <v>176</v>
      </c>
    </row>
    <row r="94" spans="1:7">
      <c r="A94" s="1" t="s">
        <v>287</v>
      </c>
      <c r="B94" t="str">
        <f t="shared" si="1"/>
        <v>CL-093</v>
      </c>
      <c r="C94" t="str">
        <f>_xlfn.XLOOKUP($F94,'03_Component'!$C:$C,'03_Component'!$B:$B)</f>
        <v>COMP-082</v>
      </c>
      <c r="D94">
        <f>_xlfn.XLOOKUP($G94,'02_Location'!$B:$B,'02_Location'!$A:$A)</f>
        <v>0</v>
      </c>
      <c r="F94" t="s">
        <v>32</v>
      </c>
    </row>
    <row r="95" spans="1:7">
      <c r="A95" s="1" t="s">
        <v>288</v>
      </c>
      <c r="B95" t="str">
        <f t="shared" si="1"/>
        <v>CL-094</v>
      </c>
      <c r="C95" t="str">
        <f>_xlfn.XLOOKUP($F95,'03_Component'!$C:$C,'03_Component'!$B:$B)</f>
        <v>COMP-083</v>
      </c>
      <c r="D95">
        <f>_xlfn.XLOOKUP($G95,'02_Location'!$B:$B,'02_Location'!$A:$A)</f>
        <v>0</v>
      </c>
      <c r="F95" t="s">
        <v>177</v>
      </c>
    </row>
    <row r="96" spans="1:7">
      <c r="A96" s="1" t="s">
        <v>289</v>
      </c>
      <c r="B96" t="str">
        <f t="shared" si="1"/>
        <v>CL-095</v>
      </c>
      <c r="C96" t="str">
        <f>_xlfn.XLOOKUP($F96,'03_Component'!$C:$C,'03_Component'!$B:$B)</f>
        <v>COMP-084</v>
      </c>
      <c r="D96" t="str">
        <f>_xlfn.XLOOKUP($G96,'02_Location'!$B:$B,'02_Location'!$A:$A)</f>
        <v>LOC-005</v>
      </c>
      <c r="F96" t="s">
        <v>178</v>
      </c>
      <c r="G96" t="s">
        <v>562</v>
      </c>
    </row>
    <row r="97" spans="1:7">
      <c r="A97" s="1" t="s">
        <v>290</v>
      </c>
      <c r="B97" t="str">
        <f t="shared" si="1"/>
        <v>CL-096</v>
      </c>
      <c r="C97" t="str">
        <f>_xlfn.XLOOKUP($F97,'03_Component'!$C:$C,'03_Component'!$B:$B)</f>
        <v>COMP-085</v>
      </c>
      <c r="D97">
        <f>_xlfn.XLOOKUP($G97,'02_Location'!$B:$B,'02_Location'!$A:$A)</f>
        <v>0</v>
      </c>
      <c r="F97" t="s">
        <v>41</v>
      </c>
    </row>
    <row r="98" spans="1:7">
      <c r="A98" s="1" t="s">
        <v>291</v>
      </c>
      <c r="B98" t="str">
        <f t="shared" si="1"/>
        <v>CL-097</v>
      </c>
      <c r="C98" t="str">
        <f>_xlfn.XLOOKUP($F98,'03_Component'!$C:$C,'03_Component'!$B:$B)</f>
        <v>COMP-086</v>
      </c>
      <c r="D98">
        <f>_xlfn.XLOOKUP($G98,'02_Location'!$B:$B,'02_Location'!$A:$A)</f>
        <v>0</v>
      </c>
      <c r="F98" t="s">
        <v>179</v>
      </c>
    </row>
    <row r="99" spans="1:7">
      <c r="A99" s="1" t="s">
        <v>292</v>
      </c>
      <c r="B99" t="str">
        <f t="shared" si="1"/>
        <v>CL-098</v>
      </c>
      <c r="C99" t="str">
        <f>_xlfn.XLOOKUP($F99,'03_Component'!$C:$C,'03_Component'!$B:$B)</f>
        <v>COMP-087</v>
      </c>
      <c r="D99" t="str">
        <f>_xlfn.XLOOKUP($G99,'02_Location'!$B:$B,'02_Location'!$A:$A)</f>
        <v>LOC-008</v>
      </c>
      <c r="F99" t="s">
        <v>54</v>
      </c>
      <c r="G99" t="s">
        <v>569</v>
      </c>
    </row>
    <row r="100" spans="1:7">
      <c r="A100" s="1" t="s">
        <v>293</v>
      </c>
      <c r="B100" t="str">
        <f t="shared" si="1"/>
        <v>CL-099</v>
      </c>
      <c r="C100" t="str">
        <f>_xlfn.XLOOKUP($F100,'03_Component'!$C:$C,'03_Component'!$B:$B)</f>
        <v>COMP-088</v>
      </c>
      <c r="D100">
        <f>_xlfn.XLOOKUP($G100,'02_Location'!$B:$B,'02_Location'!$A:$A)</f>
        <v>0</v>
      </c>
      <c r="F100" t="s">
        <v>46</v>
      </c>
    </row>
    <row r="101" spans="1:7">
      <c r="A101" s="1" t="s">
        <v>294</v>
      </c>
      <c r="B101" t="str">
        <f t="shared" si="1"/>
        <v>CL-100</v>
      </c>
      <c r="C101" t="str">
        <f>_xlfn.XLOOKUP($F101,'03_Component'!$C:$C,'03_Component'!$B:$B)</f>
        <v>COMP-089</v>
      </c>
      <c r="D101">
        <f>_xlfn.XLOOKUP($G101,'02_Location'!$B:$B,'02_Location'!$A:$A)</f>
        <v>0</v>
      </c>
      <c r="F101" t="s">
        <v>180</v>
      </c>
    </row>
    <row r="102" spans="1:7">
      <c r="A102" s="1" t="s">
        <v>295</v>
      </c>
      <c r="B102" t="str">
        <f t="shared" si="1"/>
        <v>CL-101</v>
      </c>
      <c r="C102" t="str">
        <f>_xlfn.XLOOKUP($F102,'03_Component'!$C:$C,'03_Component'!$B:$B)</f>
        <v>COMP-090</v>
      </c>
      <c r="D102" t="str">
        <f>_xlfn.XLOOKUP($G102,'02_Location'!$B:$B,'02_Location'!$A:$A)</f>
        <v>LOC-012</v>
      </c>
      <c r="F102" t="s">
        <v>181</v>
      </c>
      <c r="G102" t="s">
        <v>904</v>
      </c>
    </row>
    <row r="103" spans="1:7">
      <c r="A103" s="1" t="s">
        <v>296</v>
      </c>
      <c r="B103" t="str">
        <f>_xlfn.CONCAT("CL-",A103)</f>
        <v>CL-102</v>
      </c>
      <c r="C103" t="str">
        <f>_xlfn.XLOOKUP($F103,'03_Component'!$C:$C,'03_Component'!$B:$B)</f>
        <v>COMP-090</v>
      </c>
      <c r="D103" t="str">
        <f>_xlfn.XLOOKUP($G103,'02_Location'!$B:$B,'02_Location'!$A:$A)</f>
        <v>LOC-010</v>
      </c>
      <c r="F103" t="s">
        <v>181</v>
      </c>
      <c r="G103" t="s">
        <v>566</v>
      </c>
    </row>
    <row r="104" spans="1:7">
      <c r="A104" s="1" t="s">
        <v>297</v>
      </c>
      <c r="B104" t="str">
        <f t="shared" si="1"/>
        <v>CL-103</v>
      </c>
      <c r="C104" t="str">
        <f>_xlfn.XLOOKUP($F104,'03_Component'!$C:$C,'03_Component'!$B:$B)</f>
        <v>COMP-091</v>
      </c>
      <c r="D104" t="str">
        <f>_xlfn.XLOOKUP($G104,'02_Location'!$B:$B,'02_Location'!$A:$A)</f>
        <v>LOC-004</v>
      </c>
      <c r="F104" t="s">
        <v>182</v>
      </c>
      <c r="G104" t="s">
        <v>565</v>
      </c>
    </row>
    <row r="105" spans="1:7">
      <c r="A105" s="1" t="s">
        <v>298</v>
      </c>
      <c r="B105" t="str">
        <f t="shared" si="1"/>
        <v>CL-104</v>
      </c>
      <c r="C105" t="str">
        <f>_xlfn.XLOOKUP($F105,'03_Component'!$C:$C,'03_Component'!$B:$B)</f>
        <v>COMP-092</v>
      </c>
      <c r="D105" t="str">
        <f>_xlfn.XLOOKUP($G105,'02_Location'!$B:$B,'02_Location'!$A:$A)</f>
        <v>LOC-004</v>
      </c>
      <c r="F105" t="s">
        <v>183</v>
      </c>
      <c r="G105" t="s">
        <v>565</v>
      </c>
    </row>
    <row r="106" spans="1:7">
      <c r="A106" s="1" t="s">
        <v>299</v>
      </c>
      <c r="B106" t="str">
        <f t="shared" si="1"/>
        <v>CL-105</v>
      </c>
      <c r="C106" t="str">
        <f>_xlfn.XLOOKUP($F106,'03_Component'!$C:$C,'03_Component'!$B:$B)</f>
        <v>COMP-093</v>
      </c>
      <c r="D106" t="str">
        <f>_xlfn.XLOOKUP($G106,'02_Location'!$B:$B,'02_Location'!$A:$A)</f>
        <v>LOC-006</v>
      </c>
      <c r="F106" t="s">
        <v>5</v>
      </c>
      <c r="G106" t="s">
        <v>561</v>
      </c>
    </row>
    <row r="107" spans="1:7">
      <c r="A107" s="1" t="s">
        <v>300</v>
      </c>
      <c r="B107" t="str">
        <f t="shared" si="1"/>
        <v>CL-106</v>
      </c>
      <c r="C107" t="str">
        <f>_xlfn.XLOOKUP($F107,'03_Component'!$C:$C,'03_Component'!$B:$B)</f>
        <v>COMP-094</v>
      </c>
      <c r="D107" t="str">
        <f>_xlfn.XLOOKUP($G107,'02_Location'!$B:$B,'02_Location'!$A:$A)</f>
        <v>LOC-012</v>
      </c>
      <c r="F107" t="s">
        <v>184</v>
      </c>
      <c r="G107" t="s">
        <v>904</v>
      </c>
    </row>
    <row r="108" spans="1:7">
      <c r="A108" s="1" t="s">
        <v>301</v>
      </c>
      <c r="B108" t="str">
        <f>_xlfn.CONCAT("CL-",A108)</f>
        <v>CL-107</v>
      </c>
      <c r="C108" t="str">
        <f>_xlfn.XLOOKUP($F108,'03_Component'!$C:$C,'03_Component'!$B:$B)</f>
        <v>COMP-094</v>
      </c>
      <c r="D108" t="str">
        <f>_xlfn.XLOOKUP($G108,'02_Location'!$B:$B,'02_Location'!$A:$A)</f>
        <v>LOC-010</v>
      </c>
      <c r="F108" t="s">
        <v>184</v>
      </c>
      <c r="G108" t="s">
        <v>566</v>
      </c>
    </row>
    <row r="109" spans="1:7">
      <c r="A109" s="1" t="s">
        <v>302</v>
      </c>
      <c r="B109" t="str">
        <f t="shared" si="1"/>
        <v>CL-108</v>
      </c>
      <c r="C109" t="str">
        <f>_xlfn.XLOOKUP($F109,'03_Component'!$C:$C,'03_Component'!$B:$B)</f>
        <v>COMP-095</v>
      </c>
      <c r="D109">
        <f>_xlfn.XLOOKUP($G109,'02_Location'!$B:$B,'02_Location'!$A:$A)</f>
        <v>0</v>
      </c>
      <c r="F109" t="s">
        <v>185</v>
      </c>
    </row>
    <row r="110" spans="1:7">
      <c r="A110" s="1" t="s">
        <v>303</v>
      </c>
      <c r="B110" t="str">
        <f t="shared" si="1"/>
        <v>CL-109</v>
      </c>
      <c r="C110" t="str">
        <f>_xlfn.XLOOKUP($F110,'03_Component'!$C:$C,'03_Component'!$B:$B)</f>
        <v>COMP-096</v>
      </c>
      <c r="D110" t="str">
        <f>_xlfn.XLOOKUP($G110,'02_Location'!$B:$B,'02_Location'!$A:$A)</f>
        <v>LOC-006</v>
      </c>
      <c r="F110" t="s">
        <v>24</v>
      </c>
      <c r="G110" t="s">
        <v>561</v>
      </c>
    </row>
    <row r="111" spans="1:7">
      <c r="A111" s="1" t="s">
        <v>304</v>
      </c>
      <c r="B111" t="str">
        <f t="shared" si="1"/>
        <v>CL-110</v>
      </c>
      <c r="C111" t="str">
        <f>_xlfn.XLOOKUP($F111,'03_Component'!$C:$C,'03_Component'!$B:$B)</f>
        <v>COMP-096</v>
      </c>
      <c r="D111" t="str">
        <f>_xlfn.XLOOKUP($G111,'02_Location'!$B:$B,'02_Location'!$A:$A)</f>
        <v>LOC-005</v>
      </c>
      <c r="F111" t="s">
        <v>24</v>
      </c>
      <c r="G111" t="s">
        <v>562</v>
      </c>
    </row>
    <row r="112" spans="1:7">
      <c r="A112" s="1" t="s">
        <v>305</v>
      </c>
      <c r="B112" t="str">
        <f t="shared" si="1"/>
        <v>CL-111</v>
      </c>
      <c r="C112" t="str">
        <f>_xlfn.XLOOKUP($F112,'03_Component'!$C:$C,'03_Component'!$B:$B)</f>
        <v>COMP-096</v>
      </c>
      <c r="D112" t="str">
        <f>_xlfn.XLOOKUP($G112,'02_Location'!$B:$B,'02_Location'!$A:$A)</f>
        <v>LOC-003</v>
      </c>
      <c r="F112" t="s">
        <v>24</v>
      </c>
      <c r="G112" t="s">
        <v>563</v>
      </c>
    </row>
    <row r="113" spans="1:7">
      <c r="A113" s="1" t="s">
        <v>306</v>
      </c>
      <c r="B113" t="str">
        <f t="shared" si="1"/>
        <v>CL-112</v>
      </c>
      <c r="C113" t="str">
        <f>_xlfn.XLOOKUP($F113,'03_Component'!$C:$C,'03_Component'!$B:$B)</f>
        <v>COMP-096</v>
      </c>
      <c r="D113" t="str">
        <f>_xlfn.XLOOKUP($G113,'02_Location'!$B:$B,'02_Location'!$A:$A)</f>
        <v>LOC-011</v>
      </c>
      <c r="F113" t="s">
        <v>24</v>
      </c>
      <c r="G113" t="s">
        <v>568</v>
      </c>
    </row>
    <row r="114" spans="1:7">
      <c r="A114" s="1" t="s">
        <v>307</v>
      </c>
      <c r="B114" t="str">
        <f t="shared" si="1"/>
        <v>CL-113</v>
      </c>
      <c r="C114" t="str">
        <f>_xlfn.XLOOKUP($F114,'03_Component'!$C:$C,'03_Component'!$B:$B)</f>
        <v>COMP-097</v>
      </c>
      <c r="D114">
        <f>_xlfn.XLOOKUP($G114,'02_Location'!$B:$B,'02_Location'!$A:$A)</f>
        <v>0</v>
      </c>
      <c r="F114" t="s">
        <v>186</v>
      </c>
    </row>
    <row r="115" spans="1:7">
      <c r="A115" s="1" t="s">
        <v>308</v>
      </c>
      <c r="B115" t="str">
        <f t="shared" si="1"/>
        <v>CL-114</v>
      </c>
      <c r="C115" t="str">
        <f>_xlfn.XLOOKUP($F115,'03_Component'!$C:$C,'03_Component'!$B:$B)</f>
        <v>COMP-098</v>
      </c>
      <c r="D115">
        <f>_xlfn.XLOOKUP($G115,'02_Location'!$B:$B,'02_Location'!$A:$A)</f>
        <v>0</v>
      </c>
      <c r="F115" t="s">
        <v>187</v>
      </c>
    </row>
    <row r="116" spans="1:7">
      <c r="A116" s="1" t="s">
        <v>309</v>
      </c>
      <c r="B116" t="str">
        <f t="shared" si="1"/>
        <v>CL-115</v>
      </c>
      <c r="C116" t="str">
        <f>_xlfn.XLOOKUP($F116,'03_Component'!$C:$C,'03_Component'!$B:$B)</f>
        <v>COMP-099</v>
      </c>
      <c r="D116">
        <f>_xlfn.XLOOKUP($G116,'02_Location'!$B:$B,'02_Location'!$A:$A)</f>
        <v>0</v>
      </c>
      <c r="F116" t="s">
        <v>49</v>
      </c>
    </row>
    <row r="117" spans="1:7">
      <c r="A117" s="1" t="s">
        <v>310</v>
      </c>
      <c r="B117" t="str">
        <f t="shared" si="1"/>
        <v>CL-116</v>
      </c>
      <c r="C117" t="str">
        <f>_xlfn.XLOOKUP($F117,'03_Component'!$C:$C,'03_Component'!$B:$B)</f>
        <v>COMP-100</v>
      </c>
      <c r="D117" t="str">
        <f>_xlfn.XLOOKUP($G117,'02_Location'!$B:$B,'02_Location'!$A:$A)</f>
        <v>LOC-008</v>
      </c>
      <c r="F117" t="s">
        <v>59</v>
      </c>
      <c r="G117" t="s">
        <v>569</v>
      </c>
    </row>
    <row r="118" spans="1:7">
      <c r="A118" s="1" t="s">
        <v>311</v>
      </c>
      <c r="B118" t="str">
        <f t="shared" si="1"/>
        <v>CL-117</v>
      </c>
      <c r="C118" t="str">
        <f>_xlfn.XLOOKUP($F118,'03_Component'!$C:$C,'03_Component'!$B:$B)</f>
        <v>COMP-101</v>
      </c>
      <c r="D118">
        <f>_xlfn.XLOOKUP($G118,'02_Location'!$B:$B,'02_Location'!$A:$A)</f>
        <v>0</v>
      </c>
      <c r="F118" t="s">
        <v>188</v>
      </c>
    </row>
    <row r="119" spans="1:7">
      <c r="A119" s="1" t="s">
        <v>312</v>
      </c>
      <c r="B119" t="str">
        <f t="shared" si="1"/>
        <v>CL-118</v>
      </c>
      <c r="C119" t="str">
        <f>_xlfn.XLOOKUP($F119,'03_Component'!$C:$C,'03_Component'!$B:$B)</f>
        <v>COMP-102</v>
      </c>
      <c r="D119">
        <f>_xlfn.XLOOKUP($G119,'02_Location'!$B:$B,'02_Location'!$A:$A)</f>
        <v>0</v>
      </c>
      <c r="F119" t="s">
        <v>189</v>
      </c>
    </row>
    <row r="120" spans="1:7">
      <c r="A120" s="1" t="s">
        <v>313</v>
      </c>
      <c r="B120" t="str">
        <f t="shared" si="1"/>
        <v>CL-119</v>
      </c>
      <c r="C120" t="str">
        <f>_xlfn.XLOOKUP($F120,'03_Component'!$C:$C,'03_Component'!$B:$B)</f>
        <v>COMP-103</v>
      </c>
      <c r="D120">
        <f>_xlfn.XLOOKUP($G120,'02_Location'!$B:$B,'02_Location'!$A:$A)</f>
        <v>0</v>
      </c>
      <c r="F120" t="s">
        <v>190</v>
      </c>
    </row>
    <row r="121" spans="1:7">
      <c r="A121" s="1" t="s">
        <v>314</v>
      </c>
      <c r="B121" t="str">
        <f t="shared" si="1"/>
        <v>CL-120</v>
      </c>
      <c r="C121" t="str">
        <f>_xlfn.XLOOKUP($F121,'03_Component'!$C:$C,'03_Component'!$B:$B)</f>
        <v>COMP-104</v>
      </c>
      <c r="D121" t="str">
        <f>_xlfn.XLOOKUP($G121,'02_Location'!$B:$B,'02_Location'!$A:$A)</f>
        <v>LOC-006</v>
      </c>
      <c r="F121" t="s">
        <v>191</v>
      </c>
      <c r="G121" t="s">
        <v>561</v>
      </c>
    </row>
    <row r="122" spans="1:7">
      <c r="A122" s="1" t="s">
        <v>315</v>
      </c>
      <c r="B122" t="str">
        <f t="shared" si="1"/>
        <v>CL-121</v>
      </c>
      <c r="C122" t="str">
        <f>_xlfn.XLOOKUP($F122,'03_Component'!$C:$C,'03_Component'!$B:$B)</f>
        <v>COMP-105</v>
      </c>
      <c r="D122">
        <f>_xlfn.XLOOKUP($G122,'02_Location'!$B:$B,'02_Location'!$A:$A)</f>
        <v>0</v>
      </c>
      <c r="F122" t="s">
        <v>57</v>
      </c>
    </row>
    <row r="123" spans="1:7">
      <c r="A123" s="1" t="s">
        <v>316</v>
      </c>
      <c r="B123" t="str">
        <f t="shared" si="1"/>
        <v>CL-122</v>
      </c>
      <c r="C123" t="str">
        <f>_xlfn.XLOOKUP($F123,'03_Component'!$C:$C,'03_Component'!$B:$B)</f>
        <v>COMP-106</v>
      </c>
      <c r="D123">
        <f>_xlfn.XLOOKUP($G123,'02_Location'!$B:$B,'02_Location'!$A:$A)</f>
        <v>0</v>
      </c>
      <c r="F123" t="s">
        <v>192</v>
      </c>
    </row>
    <row r="124" spans="1:7">
      <c r="A124" s="1" t="s">
        <v>317</v>
      </c>
      <c r="B124" t="str">
        <f t="shared" si="1"/>
        <v>CL-123</v>
      </c>
      <c r="C124" t="str">
        <f>_xlfn.XLOOKUP($F124,'03_Component'!$C:$C,'03_Component'!$B:$B)</f>
        <v>COMP-107</v>
      </c>
      <c r="D124" t="str">
        <f>_xlfn.XLOOKUP($G124,'02_Location'!$B:$B,'02_Location'!$A:$A)</f>
        <v>LOC-002</v>
      </c>
      <c r="F124" t="s">
        <v>26</v>
      </c>
      <c r="G124" t="s">
        <v>564</v>
      </c>
    </row>
    <row r="125" spans="1:7">
      <c r="A125" s="1" t="s">
        <v>318</v>
      </c>
      <c r="B125" t="str">
        <f t="shared" si="1"/>
        <v>CL-124</v>
      </c>
      <c r="C125" t="str">
        <f>_xlfn.XLOOKUP($F125,'03_Component'!$C:$C,'03_Component'!$B:$B)</f>
        <v>COMP-107</v>
      </c>
      <c r="D125" t="str">
        <f>_xlfn.XLOOKUP($G125,'02_Location'!$B:$B,'02_Location'!$A:$A)</f>
        <v>LOC-009</v>
      </c>
      <c r="F125" t="s">
        <v>26</v>
      </c>
      <c r="G125" t="s">
        <v>560</v>
      </c>
    </row>
    <row r="126" spans="1:7">
      <c r="A126" s="1" t="s">
        <v>319</v>
      </c>
      <c r="B126" t="str">
        <f t="shared" si="1"/>
        <v>CL-125</v>
      </c>
      <c r="C126" t="str">
        <f>_xlfn.XLOOKUP($F126,'03_Component'!$C:$C,'03_Component'!$B:$B)</f>
        <v>COMP-107</v>
      </c>
      <c r="D126" t="str">
        <f>_xlfn.XLOOKUP($G126,'02_Location'!$B:$B,'02_Location'!$A:$A)</f>
        <v>LOC-011</v>
      </c>
      <c r="F126" t="s">
        <v>26</v>
      </c>
      <c r="G126" t="s">
        <v>568</v>
      </c>
    </row>
    <row r="127" spans="1:7">
      <c r="A127" s="1" t="s">
        <v>320</v>
      </c>
      <c r="B127" t="str">
        <f t="shared" si="1"/>
        <v>CL-126</v>
      </c>
      <c r="C127" t="str">
        <f>_xlfn.XLOOKUP($F127,'03_Component'!$C:$C,'03_Component'!$B:$B)</f>
        <v>COMP-108</v>
      </c>
      <c r="D127">
        <f>_xlfn.XLOOKUP($G127,'02_Location'!$B:$B,'02_Location'!$A:$A)</f>
        <v>0</v>
      </c>
      <c r="F127" t="s">
        <v>193</v>
      </c>
    </row>
    <row r="128" spans="1:7">
      <c r="A128" s="1" t="s">
        <v>321</v>
      </c>
      <c r="B128" t="str">
        <f t="shared" si="1"/>
        <v>CL-127</v>
      </c>
      <c r="C128" t="str">
        <f>_xlfn.XLOOKUP($F128,'03_Component'!$C:$C,'03_Component'!$B:$B)</f>
        <v>COMP-109</v>
      </c>
      <c r="D128">
        <f>_xlfn.XLOOKUP($G128,'02_Location'!$B:$B,'02_Location'!$A:$A)</f>
        <v>0</v>
      </c>
      <c r="F128" t="s">
        <v>194</v>
      </c>
    </row>
    <row r="129" spans="1:7">
      <c r="A129" s="1" t="s">
        <v>322</v>
      </c>
      <c r="B129" t="str">
        <f t="shared" si="1"/>
        <v>CL-128</v>
      </c>
      <c r="C129" t="str">
        <f>_xlfn.XLOOKUP($F129,'03_Component'!$C:$C,'03_Component'!$B:$B)</f>
        <v>COMP-110</v>
      </c>
      <c r="D129" t="str">
        <f>_xlfn.XLOOKUP($G129,'02_Location'!$B:$B,'02_Location'!$A:$A)</f>
        <v>LOC-001</v>
      </c>
      <c r="F129" t="s">
        <v>15</v>
      </c>
      <c r="G129" t="s">
        <v>2</v>
      </c>
    </row>
    <row r="130" spans="1:7">
      <c r="A130" s="1" t="s">
        <v>323</v>
      </c>
      <c r="B130" t="str">
        <f t="shared" si="1"/>
        <v>CL-129</v>
      </c>
      <c r="C130" t="str">
        <f>_xlfn.XLOOKUP($F130,'03_Component'!$C:$C,'03_Component'!$B:$B)</f>
        <v>COMP-111</v>
      </c>
      <c r="D130">
        <f>_xlfn.XLOOKUP($G130,'02_Location'!$B:$B,'02_Location'!$A:$A)</f>
        <v>0</v>
      </c>
      <c r="F130" t="s">
        <v>195</v>
      </c>
    </row>
    <row r="131" spans="1:7">
      <c r="A131" s="1" t="s">
        <v>324</v>
      </c>
      <c r="B131" t="str">
        <f t="shared" si="1"/>
        <v>CL-130</v>
      </c>
      <c r="C131" t="str">
        <f>_xlfn.XLOOKUP($F131,'03_Component'!$C:$C,'03_Component'!$B:$B)</f>
        <v>COMP-112</v>
      </c>
      <c r="D131">
        <f>_xlfn.XLOOKUP($G131,'02_Location'!$B:$B,'02_Location'!$A:$A)</f>
        <v>0</v>
      </c>
      <c r="F131" t="s">
        <v>196</v>
      </c>
    </row>
    <row r="132" spans="1:7">
      <c r="A132" s="1" t="s">
        <v>325</v>
      </c>
      <c r="B132" t="str">
        <f t="shared" si="1"/>
        <v>CL-131</v>
      </c>
      <c r="C132" t="str">
        <f>_xlfn.XLOOKUP($F132,'03_Component'!$C:$C,'03_Component'!$B:$B)</f>
        <v>COMP-113</v>
      </c>
      <c r="D132">
        <f>_xlfn.XLOOKUP($G132,'02_Location'!$B:$B,'02_Location'!$A:$A)</f>
        <v>0</v>
      </c>
      <c r="F132" t="s">
        <v>197</v>
      </c>
    </row>
    <row r="133" spans="1:7">
      <c r="A133" s="1" t="s">
        <v>326</v>
      </c>
      <c r="B133" t="str">
        <f t="shared" si="1"/>
        <v>CL-132</v>
      </c>
      <c r="C133" t="str">
        <f>_xlfn.XLOOKUP($F133,'03_Component'!$C:$C,'03_Component'!$B:$B)</f>
        <v>COMP-114</v>
      </c>
      <c r="D133">
        <f>_xlfn.XLOOKUP($G133,'02_Location'!$B:$B,'02_Location'!$A:$A)</f>
        <v>0</v>
      </c>
      <c r="F133" t="s">
        <v>198</v>
      </c>
    </row>
    <row r="134" spans="1:7">
      <c r="A134" s="1" t="s">
        <v>327</v>
      </c>
      <c r="B134" t="str">
        <f t="shared" si="1"/>
        <v>CL-133</v>
      </c>
      <c r="C134" t="str">
        <f>_xlfn.XLOOKUP($F134,'03_Component'!$C:$C,'03_Component'!$B:$B)</f>
        <v>COMP-115</v>
      </c>
      <c r="D134" t="str">
        <f>_xlfn.XLOOKUP($G134,'02_Location'!$B:$B,'02_Location'!$A:$A)</f>
        <v>LOC-009</v>
      </c>
      <c r="F134" t="s">
        <v>10</v>
      </c>
      <c r="G134" t="s">
        <v>560</v>
      </c>
    </row>
    <row r="135" spans="1:7">
      <c r="A135" s="1" t="s">
        <v>328</v>
      </c>
      <c r="B135" t="str">
        <f t="shared" si="1"/>
        <v>CL-134</v>
      </c>
      <c r="C135" t="str">
        <f>_xlfn.XLOOKUP($F135,'03_Component'!$C:$C,'03_Component'!$B:$B)</f>
        <v>COMP-115</v>
      </c>
      <c r="D135" t="str">
        <f>_xlfn.XLOOKUP($G135,'02_Location'!$B:$B,'02_Location'!$A:$A)</f>
        <v>LOC-003</v>
      </c>
      <c r="F135" t="s">
        <v>10</v>
      </c>
      <c r="G135" t="s">
        <v>563</v>
      </c>
    </row>
    <row r="136" spans="1:7">
      <c r="A136" s="1" t="s">
        <v>329</v>
      </c>
      <c r="B136" t="str">
        <f t="shared" si="1"/>
        <v>CL-135</v>
      </c>
      <c r="C136" t="str">
        <f>_xlfn.XLOOKUP($F136,'03_Component'!$C:$C,'03_Component'!$B:$B)</f>
        <v>COMP-115</v>
      </c>
      <c r="D136" t="str">
        <f>_xlfn.XLOOKUP($G136,'02_Location'!$B:$B,'02_Location'!$A:$A)</f>
        <v>LOC-002</v>
      </c>
      <c r="F136" t="s">
        <v>10</v>
      </c>
      <c r="G136" t="s">
        <v>564</v>
      </c>
    </row>
    <row r="137" spans="1:7">
      <c r="A137" s="1" t="s">
        <v>330</v>
      </c>
      <c r="B137" t="str">
        <f t="shared" si="1"/>
        <v>CL-136</v>
      </c>
      <c r="C137" t="str">
        <f>_xlfn.XLOOKUP($F137,'03_Component'!$C:$C,'03_Component'!$B:$B)</f>
        <v>COMP-116</v>
      </c>
      <c r="D137" t="str">
        <f>_xlfn.XLOOKUP($G137,'02_Location'!$B:$B,'02_Location'!$A:$A)</f>
        <v>LOC-004</v>
      </c>
      <c r="F137" t="s">
        <v>199</v>
      </c>
      <c r="G137" t="s">
        <v>565</v>
      </c>
    </row>
    <row r="138" spans="1:7">
      <c r="A138" s="1" t="s">
        <v>331</v>
      </c>
      <c r="B138" t="str">
        <f t="shared" ref="B138:B206" si="2">_xlfn.CONCAT("CL-",A138)</f>
        <v>CL-137</v>
      </c>
      <c r="C138" t="str">
        <f>_xlfn.XLOOKUP($F138,'03_Component'!$C:$C,'03_Component'!$B:$B)</f>
        <v>COMP-117</v>
      </c>
      <c r="D138">
        <f>_xlfn.XLOOKUP($G138,'02_Location'!$B:$B,'02_Location'!$A:$A)</f>
        <v>0</v>
      </c>
      <c r="F138" t="s">
        <v>56</v>
      </c>
    </row>
    <row r="139" spans="1:7">
      <c r="A139" s="1" t="s">
        <v>332</v>
      </c>
      <c r="B139" t="str">
        <f t="shared" si="2"/>
        <v>CL-138</v>
      </c>
      <c r="C139" t="str">
        <f>_xlfn.XLOOKUP($F139,'03_Component'!$C:$C,'03_Component'!$B:$B)</f>
        <v>COMP-118</v>
      </c>
      <c r="D139" t="str">
        <f>_xlfn.XLOOKUP($G139,'02_Location'!$B:$B,'02_Location'!$A:$A)</f>
        <v>LOC-011</v>
      </c>
      <c r="F139" t="s">
        <v>200</v>
      </c>
      <c r="G139" t="s">
        <v>568</v>
      </c>
    </row>
    <row r="140" spans="1:7">
      <c r="A140" s="1" t="s">
        <v>333</v>
      </c>
      <c r="B140" t="str">
        <f t="shared" si="2"/>
        <v>CL-139</v>
      </c>
      <c r="C140" t="str">
        <f>_xlfn.XLOOKUP($F140,'03_Component'!$C:$C,'03_Component'!$B:$B)</f>
        <v>COMP-119</v>
      </c>
      <c r="D140">
        <f>_xlfn.XLOOKUP($G140,'02_Location'!$B:$B,'02_Location'!$A:$A)</f>
        <v>0</v>
      </c>
      <c r="F140" t="s">
        <v>201</v>
      </c>
    </row>
    <row r="141" spans="1:7">
      <c r="A141" s="1" t="s">
        <v>334</v>
      </c>
      <c r="B141" t="str">
        <f t="shared" si="2"/>
        <v>CL-140</v>
      </c>
      <c r="C141" t="str">
        <f>_xlfn.XLOOKUP($F141,'03_Component'!$C:$C,'03_Component'!$B:$B)</f>
        <v>COMP-120</v>
      </c>
      <c r="D141">
        <f>_xlfn.XLOOKUP($G141,'02_Location'!$B:$B,'02_Location'!$A:$A)</f>
        <v>0</v>
      </c>
      <c r="F141" t="s">
        <v>202</v>
      </c>
    </row>
    <row r="142" spans="1:7">
      <c r="A142" s="1" t="s">
        <v>335</v>
      </c>
      <c r="B142" t="str">
        <f t="shared" si="2"/>
        <v>CL-141</v>
      </c>
      <c r="C142" t="str">
        <f>_xlfn.XLOOKUP($F142,'03_Component'!$C:$C,'03_Component'!$B:$B)</f>
        <v>COMP-121</v>
      </c>
      <c r="D142">
        <f>_xlfn.XLOOKUP($G142,'02_Location'!$B:$B,'02_Location'!$A:$A)</f>
        <v>0</v>
      </c>
      <c r="F142" t="s">
        <v>203</v>
      </c>
    </row>
    <row r="143" spans="1:7">
      <c r="A143" s="1" t="s">
        <v>336</v>
      </c>
      <c r="B143" t="str">
        <f t="shared" si="2"/>
        <v>CL-142</v>
      </c>
      <c r="C143" t="str">
        <f>_xlfn.XLOOKUP($F143,'03_Component'!$C:$C,'03_Component'!$B:$B)</f>
        <v>COMP-122</v>
      </c>
      <c r="D143">
        <f>_xlfn.XLOOKUP($G143,'02_Location'!$B:$B,'02_Location'!$A:$A)</f>
        <v>0</v>
      </c>
      <c r="F143" t="s">
        <v>204</v>
      </c>
    </row>
    <row r="144" spans="1:7">
      <c r="A144" s="1" t="s">
        <v>337</v>
      </c>
      <c r="B144" t="str">
        <f t="shared" si="2"/>
        <v>CL-143</v>
      </c>
      <c r="C144" t="str">
        <f>_xlfn.XLOOKUP($F144,'03_Component'!$C:$C,'03_Component'!$B:$B)</f>
        <v>COMP-123</v>
      </c>
      <c r="D144">
        <f>_xlfn.XLOOKUP($G144,'02_Location'!$B:$B,'02_Location'!$A:$A)</f>
        <v>0</v>
      </c>
      <c r="F144" t="s">
        <v>205</v>
      </c>
    </row>
    <row r="145" spans="1:7">
      <c r="A145" s="1" t="s">
        <v>338</v>
      </c>
      <c r="B145" t="str">
        <f t="shared" si="2"/>
        <v>CL-144</v>
      </c>
      <c r="C145" t="str">
        <f>_xlfn.XLOOKUP($F145,'03_Component'!$C:$C,'03_Component'!$B:$B)</f>
        <v>COMP-124</v>
      </c>
      <c r="D145">
        <f>_xlfn.XLOOKUP($G145,'02_Location'!$B:$B,'02_Location'!$A:$A)</f>
        <v>0</v>
      </c>
      <c r="F145" t="s">
        <v>206</v>
      </c>
    </row>
    <row r="146" spans="1:7">
      <c r="A146" s="1" t="s">
        <v>339</v>
      </c>
      <c r="B146" t="str">
        <f t="shared" si="2"/>
        <v>CL-145</v>
      </c>
      <c r="C146" t="str">
        <f>_xlfn.XLOOKUP($F146,'03_Component'!$C:$C,'03_Component'!$B:$B)</f>
        <v>COMP-125</v>
      </c>
      <c r="D146">
        <f>_xlfn.XLOOKUP($G146,'02_Location'!$B:$B,'02_Location'!$A:$A)</f>
        <v>0</v>
      </c>
      <c r="F146" t="s">
        <v>43</v>
      </c>
    </row>
    <row r="147" spans="1:7">
      <c r="A147" s="1" t="s">
        <v>340</v>
      </c>
      <c r="B147" t="str">
        <f t="shared" si="2"/>
        <v>CL-146</v>
      </c>
      <c r="C147" t="str">
        <f>_xlfn.XLOOKUP($F147,'03_Component'!$C:$C,'03_Component'!$B:$B)</f>
        <v>COMP-126</v>
      </c>
      <c r="D147">
        <f>_xlfn.XLOOKUP($G147,'02_Location'!$B:$B,'02_Location'!$A:$A)</f>
        <v>0</v>
      </c>
      <c r="F147" t="s">
        <v>207</v>
      </c>
    </row>
    <row r="148" spans="1:7">
      <c r="A148" s="1" t="s">
        <v>341</v>
      </c>
      <c r="B148" t="str">
        <f t="shared" si="2"/>
        <v>CL-147</v>
      </c>
      <c r="C148" t="str">
        <f>_xlfn.XLOOKUP($F148,'03_Component'!$C:$C,'03_Component'!$B:$B)</f>
        <v>COMP-127</v>
      </c>
      <c r="D148">
        <f>_xlfn.XLOOKUP($G148,'02_Location'!$B:$B,'02_Location'!$A:$A)</f>
        <v>0</v>
      </c>
      <c r="F148" t="s">
        <v>208</v>
      </c>
    </row>
    <row r="149" spans="1:7">
      <c r="A149" s="1" t="s">
        <v>342</v>
      </c>
      <c r="B149" t="str">
        <f t="shared" si="2"/>
        <v>CL-148</v>
      </c>
      <c r="C149" t="str">
        <f>_xlfn.XLOOKUP($F149,'03_Component'!$C:$C,'03_Component'!$B:$B)</f>
        <v>COMP-128</v>
      </c>
      <c r="D149">
        <f>_xlfn.XLOOKUP($G149,'02_Location'!$B:$B,'02_Location'!$A:$A)</f>
        <v>0</v>
      </c>
      <c r="F149" t="s">
        <v>209</v>
      </c>
    </row>
    <row r="150" spans="1:7">
      <c r="A150" s="1" t="s">
        <v>343</v>
      </c>
      <c r="B150" t="str">
        <f t="shared" si="2"/>
        <v>CL-149</v>
      </c>
      <c r="C150" t="str">
        <f>_xlfn.XLOOKUP($F150,'03_Component'!$C:$C,'03_Component'!$B:$B)</f>
        <v>COMP-129</v>
      </c>
      <c r="D150" t="str">
        <f>_xlfn.XLOOKUP($G150,'02_Location'!$B:$B,'02_Location'!$A:$A)</f>
        <v>LOC-009</v>
      </c>
      <c r="F150" t="s">
        <v>210</v>
      </c>
      <c r="G150" t="s">
        <v>560</v>
      </c>
    </row>
    <row r="151" spans="1:7">
      <c r="A151" s="1" t="s">
        <v>344</v>
      </c>
      <c r="B151" t="str">
        <f>_xlfn.CONCAT("CL-",A151)</f>
        <v>CL-150</v>
      </c>
      <c r="C151" t="str">
        <f>_xlfn.XLOOKUP($F151,'03_Component'!$C:$C,'03_Component'!$B:$B)</f>
        <v>COMP-129</v>
      </c>
      <c r="D151" t="str">
        <f>_xlfn.XLOOKUP($G151,'02_Location'!$B:$B,'02_Location'!$A:$A)</f>
        <v>LOC-002</v>
      </c>
      <c r="F151" t="s">
        <v>210</v>
      </c>
      <c r="G151" t="s">
        <v>564</v>
      </c>
    </row>
    <row r="152" spans="1:7">
      <c r="A152" s="1" t="s">
        <v>345</v>
      </c>
      <c r="B152" t="str">
        <f t="shared" si="2"/>
        <v>CL-151</v>
      </c>
      <c r="C152" t="str">
        <f>_xlfn.XLOOKUP($F152,'03_Component'!$C:$C,'03_Component'!$B:$B)</f>
        <v>COMP-130</v>
      </c>
      <c r="D152">
        <f>_xlfn.XLOOKUP($G152,'02_Location'!$B:$B,'02_Location'!$A:$A)</f>
        <v>0</v>
      </c>
      <c r="F152" t="s">
        <v>211</v>
      </c>
    </row>
    <row r="153" spans="1:7">
      <c r="A153" s="1" t="s">
        <v>346</v>
      </c>
      <c r="B153" t="str">
        <f t="shared" si="2"/>
        <v>CL-152</v>
      </c>
      <c r="C153" t="str">
        <f>_xlfn.XLOOKUP($F153,'03_Component'!$C:$C,'03_Component'!$B:$B)</f>
        <v>COMP-131</v>
      </c>
      <c r="D153">
        <f>_xlfn.XLOOKUP($G153,'02_Location'!$B:$B,'02_Location'!$A:$A)</f>
        <v>0</v>
      </c>
      <c r="F153" t="s">
        <v>212</v>
      </c>
    </row>
    <row r="154" spans="1:7">
      <c r="A154" s="1" t="s">
        <v>347</v>
      </c>
      <c r="B154" t="str">
        <f t="shared" si="2"/>
        <v>CL-153</v>
      </c>
      <c r="C154" t="str">
        <f>_xlfn.XLOOKUP($F154,'03_Component'!$C:$C,'03_Component'!$B:$B)</f>
        <v>COMP-132</v>
      </c>
      <c r="D154">
        <f>_xlfn.XLOOKUP($G154,'02_Location'!$B:$B,'02_Location'!$A:$A)</f>
        <v>0</v>
      </c>
      <c r="F154" t="s">
        <v>213</v>
      </c>
    </row>
    <row r="155" spans="1:7">
      <c r="A155" s="1" t="s">
        <v>348</v>
      </c>
      <c r="B155" t="str">
        <f t="shared" si="2"/>
        <v>CL-154</v>
      </c>
      <c r="C155" t="str">
        <f>_xlfn.XLOOKUP($F155,'03_Component'!$C:$C,'03_Component'!$B:$B)</f>
        <v>COMP-133</v>
      </c>
      <c r="D155" t="str">
        <f>_xlfn.XLOOKUP($G155,'02_Location'!$B:$B,'02_Location'!$A:$A)</f>
        <v>LOC-006</v>
      </c>
      <c r="F155" t="s">
        <v>28</v>
      </c>
      <c r="G155" t="s">
        <v>561</v>
      </c>
    </row>
    <row r="156" spans="1:7">
      <c r="A156" s="1" t="s">
        <v>349</v>
      </c>
      <c r="B156" t="str">
        <f t="shared" si="2"/>
        <v>CL-155</v>
      </c>
      <c r="C156" t="str">
        <f>_xlfn.XLOOKUP($F156,'03_Component'!$C:$C,'03_Component'!$B:$B)</f>
        <v>COMP-133</v>
      </c>
      <c r="D156" t="str">
        <f>_xlfn.XLOOKUP($G156,'02_Location'!$B:$B,'02_Location'!$A:$A)</f>
        <v>LOC-005</v>
      </c>
      <c r="F156" t="s">
        <v>28</v>
      </c>
      <c r="G156" t="s">
        <v>562</v>
      </c>
    </row>
    <row r="157" spans="1:7">
      <c r="A157" s="1" t="s">
        <v>350</v>
      </c>
      <c r="B157" t="str">
        <f t="shared" si="2"/>
        <v>CL-156</v>
      </c>
      <c r="C157" t="str">
        <f>_xlfn.XLOOKUP($F157,'03_Component'!$C:$C,'03_Component'!$B:$B)</f>
        <v>COMP-133</v>
      </c>
      <c r="D157" t="str">
        <f>_xlfn.XLOOKUP($G157,'02_Location'!$B:$B,'02_Location'!$A:$A)</f>
        <v>LOC-003</v>
      </c>
      <c r="F157" t="s">
        <v>28</v>
      </c>
      <c r="G157" t="s">
        <v>563</v>
      </c>
    </row>
    <row r="158" spans="1:7">
      <c r="A158" s="1" t="s">
        <v>351</v>
      </c>
      <c r="B158" t="str">
        <f t="shared" si="2"/>
        <v>CL-157</v>
      </c>
      <c r="C158" t="str">
        <f>_xlfn.XLOOKUP($F158,'03_Component'!$C:$C,'03_Component'!$B:$B)</f>
        <v>COMP-134</v>
      </c>
      <c r="D158">
        <f>_xlfn.XLOOKUP($G158,'02_Location'!$B:$B,'02_Location'!$A:$A)</f>
        <v>0</v>
      </c>
      <c r="F158" t="s">
        <v>214</v>
      </c>
    </row>
    <row r="159" spans="1:7">
      <c r="A159" s="1" t="s">
        <v>352</v>
      </c>
      <c r="B159" t="str">
        <f t="shared" si="2"/>
        <v>CL-158</v>
      </c>
      <c r="C159" t="str">
        <f>_xlfn.XLOOKUP($F159,'03_Component'!$C:$C,'03_Component'!$B:$B)</f>
        <v>COMP-135</v>
      </c>
      <c r="D159">
        <f>_xlfn.XLOOKUP($G159,'02_Location'!$B:$B,'02_Location'!$A:$A)</f>
        <v>0</v>
      </c>
      <c r="F159" t="s">
        <v>215</v>
      </c>
    </row>
    <row r="160" spans="1:7">
      <c r="A160" s="1" t="s">
        <v>353</v>
      </c>
      <c r="B160" t="str">
        <f t="shared" si="2"/>
        <v>CL-159</v>
      </c>
      <c r="C160" t="str">
        <f>_xlfn.XLOOKUP($F160,'03_Component'!$C:$C,'03_Component'!$B:$B)</f>
        <v>COMP-136</v>
      </c>
      <c r="D160">
        <f>_xlfn.XLOOKUP($G160,'02_Location'!$B:$B,'02_Location'!$A:$A)</f>
        <v>0</v>
      </c>
      <c r="F160" t="s">
        <v>216</v>
      </c>
    </row>
    <row r="161" spans="1:7">
      <c r="A161" s="1" t="s">
        <v>354</v>
      </c>
      <c r="B161" t="str">
        <f t="shared" si="2"/>
        <v>CL-160</v>
      </c>
      <c r="C161" t="str">
        <f>_xlfn.XLOOKUP($F161,'03_Component'!$C:$C,'03_Component'!$B:$B)</f>
        <v>COMP-137</v>
      </c>
      <c r="D161">
        <f>_xlfn.XLOOKUP($G161,'02_Location'!$B:$B,'02_Location'!$A:$A)</f>
        <v>0</v>
      </c>
      <c r="F161" t="s">
        <v>217</v>
      </c>
    </row>
    <row r="162" spans="1:7">
      <c r="A162" s="1" t="s">
        <v>355</v>
      </c>
      <c r="B162" t="str">
        <f t="shared" si="2"/>
        <v>CL-161</v>
      </c>
      <c r="C162" t="str">
        <f>_xlfn.XLOOKUP($F162,'03_Component'!$C:$C,'03_Component'!$B:$B)</f>
        <v>COMP-138</v>
      </c>
      <c r="D162">
        <f>_xlfn.XLOOKUP($G162,'02_Location'!$B:$B,'02_Location'!$A:$A)</f>
        <v>0</v>
      </c>
      <c r="F162" t="s">
        <v>218</v>
      </c>
    </row>
    <row r="163" spans="1:7">
      <c r="A163" s="1" t="s">
        <v>356</v>
      </c>
      <c r="B163" t="str">
        <f t="shared" si="2"/>
        <v>CL-162</v>
      </c>
      <c r="C163" t="str">
        <f>_xlfn.XLOOKUP($F163,'03_Component'!$C:$C,'03_Component'!$B:$B)</f>
        <v>COMP-139</v>
      </c>
      <c r="D163">
        <f>_xlfn.XLOOKUP($G163,'02_Location'!$B:$B,'02_Location'!$A:$A)</f>
        <v>0</v>
      </c>
      <c r="F163" t="s">
        <v>219</v>
      </c>
    </row>
    <row r="164" spans="1:7">
      <c r="A164" s="1" t="s">
        <v>357</v>
      </c>
      <c r="B164" t="str">
        <f t="shared" si="2"/>
        <v>CL-163</v>
      </c>
      <c r="C164" t="str">
        <f>_xlfn.XLOOKUP($F164,'03_Component'!$C:$C,'03_Component'!$B:$B)</f>
        <v>COMP-140</v>
      </c>
      <c r="D164">
        <f>_xlfn.XLOOKUP($G164,'02_Location'!$B:$B,'02_Location'!$A:$A)</f>
        <v>0</v>
      </c>
      <c r="F164" t="s">
        <v>220</v>
      </c>
    </row>
    <row r="165" spans="1:7">
      <c r="A165" s="1" t="s">
        <v>358</v>
      </c>
      <c r="B165" t="str">
        <f t="shared" si="2"/>
        <v>CL-164</v>
      </c>
      <c r="C165" t="str">
        <f>_xlfn.XLOOKUP($F165,'03_Component'!$C:$C,'03_Component'!$B:$B)</f>
        <v>COMP-141</v>
      </c>
      <c r="D165">
        <f>_xlfn.XLOOKUP($G165,'02_Location'!$B:$B,'02_Location'!$A:$A)</f>
        <v>0</v>
      </c>
      <c r="F165" t="s">
        <v>221</v>
      </c>
    </row>
    <row r="166" spans="1:7">
      <c r="A166" s="1" t="s">
        <v>359</v>
      </c>
      <c r="B166" t="str">
        <f t="shared" si="2"/>
        <v>CL-165</v>
      </c>
      <c r="C166" t="str">
        <f>_xlfn.XLOOKUP($F166,'03_Component'!$C:$C,'03_Component'!$B:$B)</f>
        <v>COMP-142</v>
      </c>
      <c r="D166" t="str">
        <f>_xlfn.XLOOKUP($G166,'02_Location'!$B:$B,'02_Location'!$A:$A)</f>
        <v>LOC-005</v>
      </c>
      <c r="F166" t="s">
        <v>7</v>
      </c>
      <c r="G166" t="s">
        <v>562</v>
      </c>
    </row>
    <row r="167" spans="1:7">
      <c r="A167" s="1" t="s">
        <v>360</v>
      </c>
      <c r="B167" t="str">
        <f t="shared" si="2"/>
        <v>CL-166</v>
      </c>
      <c r="C167" t="str">
        <f>_xlfn.XLOOKUP($F167,'03_Component'!$C:$C,'03_Component'!$B:$B)</f>
        <v>COMP-143</v>
      </c>
      <c r="D167">
        <f>_xlfn.XLOOKUP($G167,'02_Location'!$B:$B,'02_Location'!$A:$A)</f>
        <v>0</v>
      </c>
      <c r="F167" t="s">
        <v>37</v>
      </c>
    </row>
    <row r="168" spans="1:7">
      <c r="A168" s="1" t="s">
        <v>361</v>
      </c>
      <c r="B168" t="str">
        <f t="shared" si="2"/>
        <v>CL-167</v>
      </c>
      <c r="C168" t="str">
        <f>_xlfn.XLOOKUP($F168,'03_Component'!$C:$C,'03_Component'!$B:$B)</f>
        <v>COMP-144</v>
      </c>
      <c r="D168" t="str">
        <f>_xlfn.XLOOKUP($G168,'02_Location'!$B:$B,'02_Location'!$A:$A)</f>
        <v>LOC-006</v>
      </c>
      <c r="F168" t="s">
        <v>4</v>
      </c>
      <c r="G168" t="s">
        <v>561</v>
      </c>
    </row>
    <row r="169" spans="1:7">
      <c r="A169" s="1" t="s">
        <v>362</v>
      </c>
      <c r="B169" t="str">
        <f t="shared" si="2"/>
        <v>CL-168</v>
      </c>
      <c r="C169" t="str">
        <f>_xlfn.XLOOKUP($F169,'03_Component'!$C:$C,'03_Component'!$B:$B)</f>
        <v>COMP-144</v>
      </c>
      <c r="D169" t="str">
        <f>_xlfn.XLOOKUP($G169,'02_Location'!$B:$B,'02_Location'!$A:$A)</f>
        <v>LOC-005</v>
      </c>
      <c r="F169" t="s">
        <v>4</v>
      </c>
      <c r="G169" t="s">
        <v>562</v>
      </c>
    </row>
    <row r="170" spans="1:7">
      <c r="A170" s="1" t="s">
        <v>363</v>
      </c>
      <c r="B170" t="str">
        <f t="shared" si="2"/>
        <v>CL-169</v>
      </c>
      <c r="C170" t="str">
        <f>_xlfn.XLOOKUP($F170,'03_Component'!$C:$C,'03_Component'!$B:$B)</f>
        <v>COMP-145</v>
      </c>
      <c r="D170">
        <f>_xlfn.XLOOKUP($G170,'02_Location'!$B:$B,'02_Location'!$A:$A)</f>
        <v>0</v>
      </c>
      <c r="F170" t="s">
        <v>222</v>
      </c>
    </row>
    <row r="171" spans="1:7">
      <c r="A171" s="1" t="s">
        <v>364</v>
      </c>
      <c r="B171" t="str">
        <f t="shared" si="2"/>
        <v>CL-170</v>
      </c>
      <c r="C171" t="str">
        <f>_xlfn.XLOOKUP($F171,'03_Component'!$C:$C,'03_Component'!$B:$B)</f>
        <v>COMP-146</v>
      </c>
      <c r="D171" t="str">
        <f>_xlfn.XLOOKUP($G171,'02_Location'!$B:$B,'02_Location'!$A:$A)</f>
        <v>LOC-010</v>
      </c>
      <c r="F171" t="s">
        <v>223</v>
      </c>
      <c r="G171" t="s">
        <v>566</v>
      </c>
    </row>
    <row r="172" spans="1:7">
      <c r="A172" s="1" t="s">
        <v>365</v>
      </c>
      <c r="B172" t="str">
        <f>_xlfn.CONCAT("CL-",A172)</f>
        <v>CL-171</v>
      </c>
      <c r="C172" t="str">
        <f>_xlfn.XLOOKUP($F172,'03_Component'!$C:$C,'03_Component'!$B:$B)</f>
        <v>COMP-146</v>
      </c>
      <c r="D172" t="str">
        <f>_xlfn.XLOOKUP($G172,'02_Location'!$B:$B,'02_Location'!$A:$A)</f>
        <v>LOC-011</v>
      </c>
      <c r="F172" t="s">
        <v>223</v>
      </c>
      <c r="G172" t="s">
        <v>568</v>
      </c>
    </row>
    <row r="173" spans="1:7">
      <c r="A173" s="1" t="s">
        <v>366</v>
      </c>
      <c r="B173" t="str">
        <f t="shared" si="2"/>
        <v>CL-172</v>
      </c>
      <c r="C173" t="str">
        <f>_xlfn.XLOOKUP($F173,'03_Component'!$C:$C,'03_Component'!$B:$B)</f>
        <v>COMP-147</v>
      </c>
      <c r="D173">
        <f>_xlfn.XLOOKUP($G173,'02_Location'!$B:$B,'02_Location'!$A:$A)</f>
        <v>0</v>
      </c>
      <c r="F173" t="s">
        <v>9</v>
      </c>
    </row>
    <row r="174" spans="1:7">
      <c r="A174" s="1" t="s">
        <v>367</v>
      </c>
      <c r="B174" t="str">
        <f t="shared" si="2"/>
        <v>CL-173</v>
      </c>
      <c r="C174" t="str">
        <f>_xlfn.XLOOKUP($F174,'03_Component'!$C:$C,'03_Component'!$B:$B)</f>
        <v>COMP-148</v>
      </c>
      <c r="D174">
        <f>_xlfn.XLOOKUP($G174,'02_Location'!$B:$B,'02_Location'!$A:$A)</f>
        <v>0</v>
      </c>
      <c r="F174" t="s">
        <v>224</v>
      </c>
    </row>
    <row r="175" spans="1:7">
      <c r="A175" s="1" t="s">
        <v>368</v>
      </c>
      <c r="B175" t="str">
        <f t="shared" si="2"/>
        <v>CL-174</v>
      </c>
      <c r="C175" t="str">
        <f>_xlfn.XLOOKUP($F175,'03_Component'!$C:$C,'03_Component'!$B:$B)</f>
        <v>COMP-149</v>
      </c>
      <c r="D175" t="str">
        <f>_xlfn.XLOOKUP($G175,'02_Location'!$B:$B,'02_Location'!$A:$A)</f>
        <v>LOC-012</v>
      </c>
      <c r="F175" t="s">
        <v>225</v>
      </c>
      <c r="G175" t="s">
        <v>904</v>
      </c>
    </row>
    <row r="176" spans="1:7">
      <c r="A176" s="1" t="s">
        <v>369</v>
      </c>
      <c r="B176" t="str">
        <f>_xlfn.CONCAT("CL-",A176)</f>
        <v>CL-175</v>
      </c>
      <c r="C176" t="str">
        <f>_xlfn.XLOOKUP($F176,'03_Component'!$C:$C,'03_Component'!$B:$B)</f>
        <v>COMP-149</v>
      </c>
      <c r="D176" t="str">
        <f>_xlfn.XLOOKUP($G176,'02_Location'!$B:$B,'02_Location'!$A:$A)</f>
        <v>LOC-010</v>
      </c>
      <c r="F176" t="s">
        <v>225</v>
      </c>
      <c r="G176" t="s">
        <v>566</v>
      </c>
    </row>
    <row r="177" spans="1:7">
      <c r="A177" s="1" t="s">
        <v>645</v>
      </c>
      <c r="B177" t="str">
        <f t="shared" si="2"/>
        <v>CL-176</v>
      </c>
      <c r="C177" t="str">
        <f>_xlfn.XLOOKUP($F177,'03_Component'!$C:$C,'03_Component'!$B:$B)</f>
        <v>COMP-150</v>
      </c>
      <c r="D177" t="str">
        <f>_xlfn.XLOOKUP($G177,'02_Location'!$B:$B,'02_Location'!$A:$A)</f>
        <v>LOC-001</v>
      </c>
      <c r="F177" t="s">
        <v>20</v>
      </c>
      <c r="G177" t="s">
        <v>2</v>
      </c>
    </row>
    <row r="178" spans="1:7">
      <c r="A178" s="1" t="s">
        <v>646</v>
      </c>
      <c r="B178" t="str">
        <f t="shared" si="2"/>
        <v>CL-177</v>
      </c>
      <c r="C178" t="str">
        <f>_xlfn.XLOOKUP($F178,'03_Component'!$C:$C,'03_Component'!$B:$B)</f>
        <v>COMP-151</v>
      </c>
      <c r="D178" t="str">
        <f>_xlfn.XLOOKUP($G178,'02_Location'!$B:$B,'02_Location'!$A:$A)</f>
        <v>LOC-002</v>
      </c>
      <c r="F178" t="s">
        <v>226</v>
      </c>
      <c r="G178" t="s">
        <v>564</v>
      </c>
    </row>
    <row r="179" spans="1:7">
      <c r="A179" s="1" t="s">
        <v>647</v>
      </c>
      <c r="B179" t="str">
        <f t="shared" si="2"/>
        <v>CL-178</v>
      </c>
      <c r="C179" t="str">
        <f>_xlfn.XLOOKUP($F179,'03_Component'!$C:$C,'03_Component'!$B:$B)</f>
        <v>COMP-152</v>
      </c>
      <c r="D179">
        <f>_xlfn.XLOOKUP($G179,'02_Location'!$B:$B,'02_Location'!$A:$A)</f>
        <v>0</v>
      </c>
      <c r="F179" t="s">
        <v>227</v>
      </c>
    </row>
    <row r="180" spans="1:7">
      <c r="A180" s="1" t="s">
        <v>648</v>
      </c>
      <c r="B180" t="str">
        <f t="shared" si="2"/>
        <v>CL-179</v>
      </c>
      <c r="C180" t="str">
        <f>_xlfn.XLOOKUP($F180,'03_Component'!$C:$C,'03_Component'!$B:$B)</f>
        <v>COMP-153</v>
      </c>
      <c r="D180">
        <f>_xlfn.XLOOKUP($G180,'02_Location'!$B:$B,'02_Location'!$A:$A)</f>
        <v>0</v>
      </c>
      <c r="F180" t="s">
        <v>228</v>
      </c>
    </row>
    <row r="181" spans="1:7">
      <c r="A181" s="1" t="s">
        <v>649</v>
      </c>
      <c r="B181" t="str">
        <f t="shared" si="2"/>
        <v>CL-180</v>
      </c>
      <c r="C181" t="str">
        <f>_xlfn.XLOOKUP($F181,'03_Component'!$C:$C,'03_Component'!$B:$B)</f>
        <v>COMP-154</v>
      </c>
      <c r="D181">
        <f>_xlfn.XLOOKUP($G181,'02_Location'!$B:$B,'02_Location'!$A:$A)</f>
        <v>0</v>
      </c>
      <c r="F181" t="s">
        <v>229</v>
      </c>
    </row>
    <row r="182" spans="1:7">
      <c r="A182" s="1" t="s">
        <v>650</v>
      </c>
      <c r="B182" t="str">
        <f t="shared" si="2"/>
        <v>CL-181</v>
      </c>
      <c r="C182" t="str">
        <f>_xlfn.XLOOKUP($F182,'03_Component'!$C:$C,'03_Component'!$B:$B)</f>
        <v>COMP-155</v>
      </c>
      <c r="D182" t="str">
        <f>_xlfn.XLOOKUP($G182,'02_Location'!$B:$B,'02_Location'!$A:$A)</f>
        <v>LOC-005</v>
      </c>
      <c r="F182" t="s">
        <v>230</v>
      </c>
      <c r="G182" t="s">
        <v>562</v>
      </c>
    </row>
    <row r="183" spans="1:7">
      <c r="A183" s="1" t="s">
        <v>651</v>
      </c>
      <c r="B183" t="str">
        <f t="shared" si="2"/>
        <v>CL-182</v>
      </c>
      <c r="C183" t="str">
        <f>_xlfn.XLOOKUP($F183,'03_Component'!$C:$C,'03_Component'!$B:$B)</f>
        <v>COMP-156</v>
      </c>
      <c r="D183">
        <f>_xlfn.XLOOKUP($G183,'02_Location'!$B:$B,'02_Location'!$A:$A)</f>
        <v>0</v>
      </c>
      <c r="F183" t="s">
        <v>39</v>
      </c>
    </row>
    <row r="184" spans="1:7">
      <c r="A184" s="1" t="s">
        <v>652</v>
      </c>
      <c r="B184" t="str">
        <f t="shared" si="2"/>
        <v>CL-183</v>
      </c>
      <c r="C184" t="str">
        <f>_xlfn.XLOOKUP($F184,'03_Component'!$C:$C,'03_Component'!$B:$B)</f>
        <v>COMP-157</v>
      </c>
      <c r="D184" t="str">
        <f>_xlfn.XLOOKUP($G184,'02_Location'!$B:$B,'02_Location'!$A:$A)</f>
        <v>LOC-004</v>
      </c>
      <c r="F184" t="s">
        <v>13</v>
      </c>
      <c r="G184" t="s">
        <v>565</v>
      </c>
    </row>
    <row r="185" spans="1:7">
      <c r="A185" s="1" t="s">
        <v>653</v>
      </c>
      <c r="B185" t="str">
        <f t="shared" si="2"/>
        <v>CL-184</v>
      </c>
      <c r="C185" t="str">
        <f>_xlfn.XLOOKUP($F185,'03_Component'!$C:$C,'03_Component'!$B:$B)</f>
        <v>COMP-158</v>
      </c>
      <c r="D185" t="str">
        <f>_xlfn.XLOOKUP($G185,'02_Location'!$B:$B,'02_Location'!$A:$A)</f>
        <v>LOC-007</v>
      </c>
      <c r="F185" t="s">
        <v>231</v>
      </c>
      <c r="G185" t="s">
        <v>567</v>
      </c>
    </row>
    <row r="186" spans="1:7">
      <c r="A186" s="1" t="s">
        <v>654</v>
      </c>
      <c r="B186" t="str">
        <f t="shared" si="2"/>
        <v>CL-185</v>
      </c>
      <c r="C186" t="str">
        <f>_xlfn.XLOOKUP($F186,'03_Component'!$C:$C,'03_Component'!$B:$B)</f>
        <v>COMP-159</v>
      </c>
      <c r="D186">
        <f>_xlfn.XLOOKUP($G186,'02_Location'!$B:$B,'02_Location'!$A:$A)</f>
        <v>0</v>
      </c>
      <c r="F186" t="s">
        <v>232</v>
      </c>
    </row>
    <row r="187" spans="1:7">
      <c r="A187" s="1" t="s">
        <v>655</v>
      </c>
      <c r="B187" t="str">
        <f t="shared" si="2"/>
        <v>CL-186</v>
      </c>
      <c r="C187" t="str">
        <f>_xlfn.XLOOKUP($F187,'03_Component'!$C:$C,'03_Component'!$B:$B)</f>
        <v>COMP-160</v>
      </c>
      <c r="D187">
        <f>_xlfn.XLOOKUP($G187,'02_Location'!$B:$B,'02_Location'!$A:$A)</f>
        <v>0</v>
      </c>
      <c r="F187" t="s">
        <v>233</v>
      </c>
    </row>
    <row r="188" spans="1:7">
      <c r="A188" s="1" t="s">
        <v>656</v>
      </c>
      <c r="B188" t="str">
        <f t="shared" si="2"/>
        <v>CL-187</v>
      </c>
      <c r="C188" t="str">
        <f>_xlfn.XLOOKUP($F188,'03_Component'!$C:$C,'03_Component'!$B:$B)</f>
        <v>COMP-161</v>
      </c>
      <c r="D188">
        <f>_xlfn.XLOOKUP($G188,'02_Location'!$B:$B,'02_Location'!$A:$A)</f>
        <v>0</v>
      </c>
      <c r="F188" t="s">
        <v>234</v>
      </c>
    </row>
    <row r="189" spans="1:7">
      <c r="A189" s="1" t="s">
        <v>657</v>
      </c>
      <c r="B189" t="str">
        <f t="shared" si="2"/>
        <v>CL-188</v>
      </c>
      <c r="C189" t="str">
        <f>_xlfn.XLOOKUP($F189,'03_Component'!$C:$C,'03_Component'!$B:$B)</f>
        <v>COMP-162</v>
      </c>
      <c r="D189" t="str">
        <f>_xlfn.XLOOKUP($G189,'02_Location'!$B:$B,'02_Location'!$A:$A)</f>
        <v>LOC-001</v>
      </c>
      <c r="F189" t="s">
        <v>18</v>
      </c>
      <c r="G189" t="s">
        <v>2</v>
      </c>
    </row>
    <row r="190" spans="1:7">
      <c r="A190" s="1" t="s">
        <v>658</v>
      </c>
      <c r="B190" t="str">
        <f t="shared" si="2"/>
        <v>CL-189</v>
      </c>
      <c r="C190" t="str">
        <f>_xlfn.XLOOKUP($F190,'03_Component'!$C:$C,'03_Component'!$B:$B)</f>
        <v>COMP-163</v>
      </c>
      <c r="D190" t="str">
        <f>_xlfn.XLOOKUP($G190,'02_Location'!$B:$B,'02_Location'!$A:$A)</f>
        <v>LOC-009</v>
      </c>
      <c r="F190" t="s">
        <v>0</v>
      </c>
      <c r="G190" t="s">
        <v>560</v>
      </c>
    </row>
    <row r="191" spans="1:7">
      <c r="A191" s="1" t="s">
        <v>659</v>
      </c>
      <c r="B191" t="str">
        <f t="shared" si="2"/>
        <v>CL-190</v>
      </c>
      <c r="C191" t="str">
        <f>_xlfn.XLOOKUP($F191,'03_Component'!$C:$C,'03_Component'!$B:$B)</f>
        <v>COMP-164</v>
      </c>
      <c r="D191">
        <f>_xlfn.XLOOKUP($G191,'02_Location'!$B:$B,'02_Location'!$A:$A)</f>
        <v>0</v>
      </c>
      <c r="F191" t="s">
        <v>235</v>
      </c>
    </row>
    <row r="192" spans="1:7">
      <c r="A192" s="1" t="s">
        <v>660</v>
      </c>
      <c r="B192" t="str">
        <f t="shared" si="2"/>
        <v>CL-191</v>
      </c>
      <c r="C192" t="str">
        <f>_xlfn.XLOOKUP($F192,'03_Component'!$C:$C,'03_Component'!$B:$B)</f>
        <v>COMP-165</v>
      </c>
      <c r="D192">
        <f>_xlfn.XLOOKUP($G192,'02_Location'!$B:$B,'02_Location'!$A:$A)</f>
        <v>0</v>
      </c>
      <c r="F192" t="s">
        <v>236</v>
      </c>
    </row>
    <row r="193" spans="1:7">
      <c r="A193" s="1" t="s">
        <v>661</v>
      </c>
      <c r="B193" t="str">
        <f t="shared" si="2"/>
        <v>CL-192</v>
      </c>
      <c r="C193" t="str">
        <f>_xlfn.XLOOKUP($F193,'03_Component'!$C:$C,'03_Component'!$B:$B)</f>
        <v>COMP-166</v>
      </c>
      <c r="D193">
        <f>_xlfn.XLOOKUP($G193,'02_Location'!$B:$B,'02_Location'!$A:$A)</f>
        <v>0</v>
      </c>
      <c r="F193" t="s">
        <v>237</v>
      </c>
    </row>
    <row r="194" spans="1:7">
      <c r="A194" s="1" t="s">
        <v>662</v>
      </c>
      <c r="B194" t="str">
        <f t="shared" si="2"/>
        <v>CL-193</v>
      </c>
      <c r="C194" t="str">
        <f>_xlfn.XLOOKUP($F194,'03_Component'!$C:$C,'03_Component'!$B:$B)</f>
        <v>COMP-167</v>
      </c>
      <c r="D194">
        <f>_xlfn.XLOOKUP($G194,'02_Location'!$B:$B,'02_Location'!$A:$A)</f>
        <v>0</v>
      </c>
      <c r="F194" t="s">
        <v>238</v>
      </c>
    </row>
    <row r="195" spans="1:7">
      <c r="A195" s="1" t="s">
        <v>663</v>
      </c>
      <c r="B195" t="str">
        <f t="shared" si="2"/>
        <v>CL-194</v>
      </c>
      <c r="C195" t="str">
        <f>_xlfn.XLOOKUP($F195,'03_Component'!$C:$C,'03_Component'!$B:$B)</f>
        <v>COMP-168</v>
      </c>
      <c r="D195">
        <f>_xlfn.XLOOKUP($G195,'02_Location'!$B:$B,'02_Location'!$A:$A)</f>
        <v>0</v>
      </c>
      <c r="F195" t="s">
        <v>239</v>
      </c>
    </row>
    <row r="196" spans="1:7">
      <c r="A196" s="1" t="s">
        <v>664</v>
      </c>
      <c r="B196" t="str">
        <f t="shared" si="2"/>
        <v>CL-195</v>
      </c>
      <c r="C196" t="str">
        <f>_xlfn.XLOOKUP($F196,'03_Component'!$C:$C,'03_Component'!$B:$B)</f>
        <v>COMP-169</v>
      </c>
      <c r="D196" t="str">
        <f>_xlfn.XLOOKUP($G196,'02_Location'!$B:$B,'02_Location'!$A:$A)</f>
        <v>LOC-009</v>
      </c>
      <c r="F196" t="s">
        <v>60</v>
      </c>
      <c r="G196" t="s">
        <v>560</v>
      </c>
    </row>
    <row r="197" spans="1:7">
      <c r="A197" s="1" t="s">
        <v>665</v>
      </c>
      <c r="B197" t="str">
        <f>_xlfn.CONCAT("CL-",A197)</f>
        <v>CL-196</v>
      </c>
      <c r="C197" t="str">
        <f>_xlfn.XLOOKUP($F197,'03_Component'!$C:$C,'03_Component'!$B:$B)</f>
        <v>COMP-169</v>
      </c>
      <c r="D197" t="str">
        <f>_xlfn.XLOOKUP($G197,'02_Location'!$B:$B,'02_Location'!$A:$A)</f>
        <v>LOC-002</v>
      </c>
      <c r="F197" t="s">
        <v>60</v>
      </c>
      <c r="G197" t="s">
        <v>564</v>
      </c>
    </row>
    <row r="198" spans="1:7">
      <c r="A198" s="1" t="s">
        <v>666</v>
      </c>
      <c r="B198" t="str">
        <f t="shared" si="2"/>
        <v>CL-197</v>
      </c>
      <c r="C198" t="str">
        <f>_xlfn.XLOOKUP($F198,'03_Component'!$C:$C,'03_Component'!$B:$B)</f>
        <v>COMP-170</v>
      </c>
      <c r="D198">
        <f>_xlfn.XLOOKUP($G198,'02_Location'!$B:$B,'02_Location'!$A:$A)</f>
        <v>0</v>
      </c>
      <c r="F198" t="s">
        <v>240</v>
      </c>
    </row>
    <row r="199" spans="1:7">
      <c r="A199" s="1" t="s">
        <v>667</v>
      </c>
      <c r="B199" t="str">
        <f t="shared" si="2"/>
        <v>CL-198</v>
      </c>
      <c r="C199" t="str">
        <f>_xlfn.XLOOKUP($F199,'03_Component'!$C:$C,'03_Component'!$B:$B)</f>
        <v>COMP-171</v>
      </c>
      <c r="D199" t="str">
        <f>_xlfn.XLOOKUP($G199,'02_Location'!$B:$B,'02_Location'!$A:$A)</f>
        <v>LOC-003</v>
      </c>
      <c r="F199" t="s">
        <v>241</v>
      </c>
      <c r="G199" t="s">
        <v>563</v>
      </c>
    </row>
    <row r="200" spans="1:7">
      <c r="A200" s="1" t="s">
        <v>668</v>
      </c>
      <c r="B200" t="str">
        <f t="shared" si="2"/>
        <v>CL-199</v>
      </c>
      <c r="C200" t="str">
        <f>_xlfn.XLOOKUP($F200,'03_Component'!$C:$C,'03_Component'!$B:$B)</f>
        <v>COMP-172</v>
      </c>
      <c r="D200" t="str">
        <f>_xlfn.XLOOKUP($G200,'02_Location'!$B:$B,'02_Location'!$A:$A)</f>
        <v>LOC-001</v>
      </c>
      <c r="F200" t="s">
        <v>6</v>
      </c>
      <c r="G200" t="s">
        <v>2</v>
      </c>
    </row>
    <row r="201" spans="1:7">
      <c r="A201" s="1" t="s">
        <v>669</v>
      </c>
      <c r="B201" t="str">
        <f t="shared" si="2"/>
        <v>CL-200</v>
      </c>
      <c r="C201" t="str">
        <f>_xlfn.XLOOKUP($F201,'03_Component'!$C:$C,'03_Component'!$B:$B)</f>
        <v>COMP-173</v>
      </c>
      <c r="D201">
        <f>_xlfn.XLOOKUP($G201,'02_Location'!$B:$B,'02_Location'!$A:$A)</f>
        <v>0</v>
      </c>
      <c r="F201" t="s">
        <v>242</v>
      </c>
    </row>
    <row r="202" spans="1:7">
      <c r="A202" s="1" t="s">
        <v>670</v>
      </c>
      <c r="B202" t="str">
        <f t="shared" si="2"/>
        <v>CL-201</v>
      </c>
      <c r="C202" t="str">
        <f>_xlfn.XLOOKUP($F202,'03_Component'!$C:$C,'03_Component'!$B:$B)</f>
        <v>COMP-174</v>
      </c>
      <c r="D202">
        <f>_xlfn.XLOOKUP($G202,'02_Location'!$B:$B,'02_Location'!$A:$A)</f>
        <v>0</v>
      </c>
      <c r="F202" t="s">
        <v>243</v>
      </c>
    </row>
    <row r="203" spans="1:7">
      <c r="A203" s="1" t="s">
        <v>671</v>
      </c>
      <c r="B203" t="str">
        <f>_xlfn.CONCAT("CL-",A203)</f>
        <v>CL-202</v>
      </c>
      <c r="C203" t="str">
        <f>_xlfn.XLOOKUP($F203,'03_Component'!$C:$C,'03_Component'!$B:$B)</f>
        <v>COMP-175</v>
      </c>
      <c r="D203" t="str">
        <f>_xlfn.XLOOKUP($G203,'02_Location'!$B:$B,'02_Location'!$A:$A)</f>
        <v>LOC-011</v>
      </c>
      <c r="F203" t="s">
        <v>244</v>
      </c>
      <c r="G203" t="s">
        <v>568</v>
      </c>
    </row>
    <row r="204" spans="1:7">
      <c r="A204" s="1" t="s">
        <v>672</v>
      </c>
      <c r="B204" t="str">
        <f t="shared" si="2"/>
        <v>CL-203</v>
      </c>
      <c r="C204" t="str">
        <f>_xlfn.XLOOKUP($F204,'03_Component'!$C:$C,'03_Component'!$B:$B)</f>
        <v>COMP-175</v>
      </c>
      <c r="D204" t="str">
        <f>_xlfn.XLOOKUP($G204,'02_Location'!$B:$B,'02_Location'!$A:$A)</f>
        <v>LOC-003</v>
      </c>
      <c r="F204" t="s">
        <v>244</v>
      </c>
      <c r="G204" t="s">
        <v>563</v>
      </c>
    </row>
    <row r="205" spans="1:7">
      <c r="A205" s="1" t="s">
        <v>673</v>
      </c>
      <c r="B205" t="str">
        <f t="shared" si="2"/>
        <v>CL-204</v>
      </c>
    </row>
    <row r="206" spans="1:7">
      <c r="A206" s="1" t="s">
        <v>674</v>
      </c>
      <c r="B206" t="str">
        <f t="shared" si="2"/>
        <v>CL-205</v>
      </c>
    </row>
    <row r="207" spans="1:7">
      <c r="A207" s="1" t="s">
        <v>675</v>
      </c>
      <c r="B207" t="str">
        <f t="shared" ref="B207:B238" si="3">_xlfn.CONCAT("CL-",A207)</f>
        <v>CL-206</v>
      </c>
    </row>
    <row r="208" spans="1:7">
      <c r="A208" s="1" t="s">
        <v>676</v>
      </c>
      <c r="B208" t="str">
        <f t="shared" si="3"/>
        <v>CL-207</v>
      </c>
    </row>
    <row r="209" spans="1:2">
      <c r="A209" s="1" t="s">
        <v>677</v>
      </c>
      <c r="B209" t="str">
        <f t="shared" si="3"/>
        <v>CL-208</v>
      </c>
    </row>
    <row r="210" spans="1:2">
      <c r="A210" s="1" t="s">
        <v>678</v>
      </c>
      <c r="B210" t="str">
        <f t="shared" si="3"/>
        <v>CL-209</v>
      </c>
    </row>
    <row r="211" spans="1:2">
      <c r="A211" s="1" t="s">
        <v>679</v>
      </c>
      <c r="B211" t="str">
        <f t="shared" si="3"/>
        <v>CL-210</v>
      </c>
    </row>
    <row r="212" spans="1:2">
      <c r="A212" s="1" t="s">
        <v>680</v>
      </c>
      <c r="B212" t="str">
        <f t="shared" si="3"/>
        <v>CL-211</v>
      </c>
    </row>
    <row r="213" spans="1:2">
      <c r="A213" s="1" t="s">
        <v>681</v>
      </c>
      <c r="B213" t="str">
        <f t="shared" si="3"/>
        <v>CL-212</v>
      </c>
    </row>
    <row r="214" spans="1:2">
      <c r="A214" s="1" t="s">
        <v>682</v>
      </c>
      <c r="B214" t="str">
        <f t="shared" si="3"/>
        <v>CL-213</v>
      </c>
    </row>
    <row r="215" spans="1:2">
      <c r="A215" s="1" t="s">
        <v>683</v>
      </c>
      <c r="B215" t="str">
        <f t="shared" si="3"/>
        <v>CL-214</v>
      </c>
    </row>
    <row r="216" spans="1:2">
      <c r="A216" s="1" t="s">
        <v>684</v>
      </c>
      <c r="B216" t="str">
        <f t="shared" si="3"/>
        <v>CL-215</v>
      </c>
    </row>
    <row r="217" spans="1:2">
      <c r="A217" s="1" t="s">
        <v>685</v>
      </c>
      <c r="B217" t="str">
        <f t="shared" si="3"/>
        <v>CL-216</v>
      </c>
    </row>
    <row r="218" spans="1:2">
      <c r="A218" s="1" t="s">
        <v>674</v>
      </c>
      <c r="B218" t="str">
        <f t="shared" si="3"/>
        <v>CL-205</v>
      </c>
    </row>
    <row r="219" spans="1:2">
      <c r="A219" s="1" t="s">
        <v>675</v>
      </c>
      <c r="B219" t="str">
        <f t="shared" si="3"/>
        <v>CL-206</v>
      </c>
    </row>
    <row r="220" spans="1:2">
      <c r="A220" s="1" t="s">
        <v>676</v>
      </c>
      <c r="B220" t="str">
        <f t="shared" si="3"/>
        <v>CL-207</v>
      </c>
    </row>
    <row r="221" spans="1:2">
      <c r="A221" s="1" t="s">
        <v>677</v>
      </c>
      <c r="B221" t="str">
        <f t="shared" si="3"/>
        <v>CL-208</v>
      </c>
    </row>
    <row r="222" spans="1:2">
      <c r="A222" s="1" t="s">
        <v>678</v>
      </c>
      <c r="B222" t="str">
        <f t="shared" si="3"/>
        <v>CL-209</v>
      </c>
    </row>
    <row r="223" spans="1:2">
      <c r="A223" s="1" t="s">
        <v>679</v>
      </c>
      <c r="B223" t="str">
        <f t="shared" si="3"/>
        <v>CL-210</v>
      </c>
    </row>
    <row r="224" spans="1:2">
      <c r="A224" s="1" t="s">
        <v>680</v>
      </c>
      <c r="B224" t="str">
        <f t="shared" si="3"/>
        <v>CL-211</v>
      </c>
    </row>
    <row r="225" spans="1:2">
      <c r="A225" s="1" t="s">
        <v>681</v>
      </c>
      <c r="B225" t="str">
        <f t="shared" si="3"/>
        <v>CL-212</v>
      </c>
    </row>
    <row r="226" spans="1:2">
      <c r="A226" s="1" t="s">
        <v>682</v>
      </c>
      <c r="B226" t="str">
        <f t="shared" si="3"/>
        <v>CL-213</v>
      </c>
    </row>
    <row r="227" spans="1:2">
      <c r="A227" s="1" t="s">
        <v>683</v>
      </c>
      <c r="B227" t="str">
        <f t="shared" si="3"/>
        <v>CL-214</v>
      </c>
    </row>
    <row r="228" spans="1:2">
      <c r="A228" s="1" t="s">
        <v>684</v>
      </c>
      <c r="B228" t="str">
        <f t="shared" si="3"/>
        <v>CL-215</v>
      </c>
    </row>
    <row r="229" spans="1:2">
      <c r="A229" s="1" t="s">
        <v>685</v>
      </c>
      <c r="B229" t="str">
        <f t="shared" si="3"/>
        <v>CL-216</v>
      </c>
    </row>
    <row r="230" spans="1:2">
      <c r="A230" s="1" t="s">
        <v>686</v>
      </c>
      <c r="B230" t="str">
        <f t="shared" si="3"/>
        <v>CL-217</v>
      </c>
    </row>
    <row r="231" spans="1:2">
      <c r="A231" s="1" t="s">
        <v>687</v>
      </c>
      <c r="B231" t="str">
        <f t="shared" si="3"/>
        <v>CL-218</v>
      </c>
    </row>
    <row r="232" spans="1:2">
      <c r="A232" s="1" t="s">
        <v>688</v>
      </c>
      <c r="B232" t="str">
        <f t="shared" si="3"/>
        <v>CL-219</v>
      </c>
    </row>
    <row r="233" spans="1:2">
      <c r="A233" s="1" t="s">
        <v>689</v>
      </c>
      <c r="B233" t="str">
        <f t="shared" si="3"/>
        <v>CL-220</v>
      </c>
    </row>
    <row r="234" spans="1:2">
      <c r="A234" s="1" t="s">
        <v>690</v>
      </c>
      <c r="B234" t="str">
        <f t="shared" si="3"/>
        <v>CL-221</v>
      </c>
    </row>
    <row r="235" spans="1:2">
      <c r="A235" s="1" t="s">
        <v>691</v>
      </c>
      <c r="B235" t="str">
        <f t="shared" si="3"/>
        <v>CL-222</v>
      </c>
    </row>
    <row r="236" spans="1:2">
      <c r="A236" s="1" t="s">
        <v>692</v>
      </c>
      <c r="B236" t="str">
        <f t="shared" si="3"/>
        <v>CL-223</v>
      </c>
    </row>
    <row r="237" spans="1:2">
      <c r="A237" s="1" t="s">
        <v>693</v>
      </c>
      <c r="B237" t="str">
        <f t="shared" si="3"/>
        <v>CL-224</v>
      </c>
    </row>
    <row r="238" spans="1:2">
      <c r="A238" s="1" t="s">
        <v>694</v>
      </c>
      <c r="B238" t="str">
        <f t="shared" si="3"/>
        <v>CL-225</v>
      </c>
    </row>
    <row r="239" spans="1:2">
      <c r="A239" s="1"/>
    </row>
    <row r="240" spans="1:2">
      <c r="A240" s="1"/>
    </row>
    <row r="241" spans="1:1">
      <c r="A241" s="1"/>
    </row>
    <row r="242" spans="1:1">
      <c r="A242" s="1"/>
    </row>
    <row r="243" spans="1:1">
      <c r="A243" s="1"/>
    </row>
    <row r="244" spans="1:1">
      <c r="A244" s="1"/>
    </row>
    <row r="245" spans="1:1">
      <c r="A245" s="1"/>
    </row>
    <row r="246" spans="1:1">
      <c r="A246" s="1"/>
    </row>
    <row r="247" spans="1:1">
      <c r="A247" s="1"/>
    </row>
    <row r="248" spans="1:1">
      <c r="A248" s="1"/>
    </row>
    <row r="249" spans="1:1">
      <c r="A249" s="1"/>
    </row>
    <row r="250" spans="1:1">
      <c r="A250" s="1"/>
    </row>
    <row r="251" spans="1:1">
      <c r="A251" s="1"/>
    </row>
    <row r="252" spans="1:1">
      <c r="A252" s="1"/>
    </row>
    <row r="253" spans="1:1">
      <c r="A253" s="1"/>
    </row>
    <row r="254" spans="1:1">
      <c r="A254" s="1"/>
    </row>
    <row r="255" spans="1:1">
      <c r="A255" s="1"/>
    </row>
    <row r="256" spans="1:1">
      <c r="A256" s="1"/>
    </row>
    <row r="257" spans="1:1">
      <c r="A257" s="1"/>
    </row>
    <row r="258" spans="1:1">
      <c r="A258" s="1"/>
    </row>
    <row r="259" spans="1:1">
      <c r="A259" s="1"/>
    </row>
    <row r="260" spans="1:1">
      <c r="A260" s="1"/>
    </row>
    <row r="261" spans="1:1">
      <c r="A261" s="1"/>
    </row>
    <row r="262" spans="1:1">
      <c r="A262" s="1"/>
    </row>
    <row r="263" spans="1:1">
      <c r="A263" s="1"/>
    </row>
    <row r="264" spans="1:1">
      <c r="A264" s="1"/>
    </row>
    <row r="265" spans="1:1">
      <c r="A265" s="1"/>
    </row>
    <row r="266" spans="1:1">
      <c r="A266" s="1"/>
    </row>
    <row r="267" spans="1:1">
      <c r="A267" s="1"/>
    </row>
    <row r="268" spans="1:1">
      <c r="A268" s="1"/>
    </row>
    <row r="269" spans="1:1">
      <c r="A269" s="1"/>
    </row>
    <row r="270" spans="1:1">
      <c r="A270" s="1"/>
    </row>
    <row r="271" spans="1:1">
      <c r="A271" s="1"/>
    </row>
    <row r="272" spans="1:1">
      <c r="A272" s="1"/>
    </row>
    <row r="273" spans="1:1">
      <c r="A273" s="1"/>
    </row>
    <row r="274" spans="1:1">
      <c r="A274" s="1"/>
    </row>
    <row r="275" spans="1:1">
      <c r="A275" s="1"/>
    </row>
    <row r="276" spans="1:1">
      <c r="A276" s="1"/>
    </row>
    <row r="277" spans="1:1">
      <c r="A277" s="1"/>
    </row>
    <row r="278" spans="1:1">
      <c r="A278" s="1"/>
    </row>
    <row r="279" spans="1:1">
      <c r="A279" s="1"/>
    </row>
    <row r="280" spans="1:1">
      <c r="A280" s="1"/>
    </row>
    <row r="281" spans="1:1">
      <c r="A281" s="1"/>
    </row>
    <row r="282" spans="1:1">
      <c r="A282" s="1"/>
    </row>
  </sheetData>
  <phoneticPr fontId="6"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825AC-7541-44CD-878B-F8D9BB3A09FE}">
  <sheetPr>
    <tabColor theme="1" tint="0.499984740745262"/>
  </sheetPr>
  <dimension ref="A1:H484"/>
  <sheetViews>
    <sheetView topLeftCell="B1" workbookViewId="0">
      <selection activeCell="G10" sqref="G10"/>
    </sheetView>
  </sheetViews>
  <sheetFormatPr defaultRowHeight="15"/>
  <cols>
    <col min="1" max="1" width="9.140625" style="1" hidden="1" customWidth="1"/>
    <col min="2" max="2" width="14" customWidth="1"/>
    <col min="3" max="3" width="21.42578125" customWidth="1"/>
    <col min="4" max="4" width="21" customWidth="1"/>
    <col min="5" max="5" width="11" bestFit="1" customWidth="1"/>
    <col min="7" max="8" width="32.5703125" bestFit="1" customWidth="1"/>
  </cols>
  <sheetData>
    <row r="1" spans="1:8">
      <c r="A1" s="1" t="s">
        <v>644</v>
      </c>
      <c r="B1" t="s">
        <v>695</v>
      </c>
      <c r="C1" t="s">
        <v>696</v>
      </c>
      <c r="D1" t="s">
        <v>697</v>
      </c>
      <c r="E1" t="s">
        <v>892</v>
      </c>
      <c r="G1" t="s">
        <v>698</v>
      </c>
      <c r="H1" t="s">
        <v>699</v>
      </c>
    </row>
    <row r="2" spans="1:8">
      <c r="A2" s="1" t="s">
        <v>70</v>
      </c>
      <c r="B2" t="str">
        <f t="shared" ref="B2:B65" si="0">_xlfn.CONCAT("DIS-",A2)</f>
        <v>DIS-001</v>
      </c>
      <c r="C2" t="str">
        <f>_xlfn.XLOOKUP($G2,'03_Component'!$C:$C,'03_Component'!$B:$B)</f>
        <v>COMP-002</v>
      </c>
      <c r="D2" t="str">
        <f>_xlfn.XLOOKUP($H2,'03_Component'!$C:$C,'03_Component'!$B:$B)</f>
        <v>COMP-059</v>
      </c>
      <c r="E2">
        <v>1</v>
      </c>
      <c r="G2" t="s">
        <v>33</v>
      </c>
      <c r="H2" t="s">
        <v>11</v>
      </c>
    </row>
    <row r="3" spans="1:8">
      <c r="A3" s="1" t="s">
        <v>71</v>
      </c>
      <c r="B3" t="str">
        <f t="shared" si="0"/>
        <v>DIS-002</v>
      </c>
      <c r="C3" t="str">
        <f>_xlfn.XLOOKUP($G3,'03_Component'!$C:$C,'03_Component'!$B:$B)</f>
        <v>COMP-002</v>
      </c>
      <c r="D3" t="str">
        <f>_xlfn.XLOOKUP($H3,'03_Component'!$C:$C,'03_Component'!$B:$B)</f>
        <v>COMP-175</v>
      </c>
      <c r="E3">
        <v>1</v>
      </c>
      <c r="G3" t="s">
        <v>33</v>
      </c>
      <c r="H3" t="s">
        <v>244</v>
      </c>
    </row>
    <row r="4" spans="1:8">
      <c r="A4" s="1" t="s">
        <v>72</v>
      </c>
      <c r="B4" t="str">
        <f t="shared" si="0"/>
        <v>DIS-003</v>
      </c>
      <c r="C4" t="str">
        <f>_xlfn.XLOOKUP($G4,'03_Component'!$C:$C,'03_Component'!$B:$B)</f>
        <v>COMP-003</v>
      </c>
      <c r="D4" t="str">
        <f>_xlfn.XLOOKUP($H4,'03_Component'!$C:$C,'03_Component'!$B:$B)</f>
        <v>COMP-093</v>
      </c>
      <c r="E4">
        <v>1</v>
      </c>
      <c r="G4" t="s">
        <v>8</v>
      </c>
      <c r="H4" t="s">
        <v>5</v>
      </c>
    </row>
    <row r="5" spans="1:8">
      <c r="A5" s="1" t="s">
        <v>73</v>
      </c>
      <c r="B5" t="str">
        <f t="shared" si="0"/>
        <v>DIS-004</v>
      </c>
      <c r="C5" t="str">
        <f>_xlfn.XLOOKUP($G5,'03_Component'!$C:$C,'03_Component'!$B:$B)</f>
        <v>COMP-003</v>
      </c>
      <c r="D5" t="str">
        <f>_xlfn.XLOOKUP($H5,'03_Component'!$C:$C,'03_Component'!$B:$B)</f>
        <v>COMP-175</v>
      </c>
      <c r="E5">
        <v>1</v>
      </c>
      <c r="G5" t="s">
        <v>8</v>
      </c>
      <c r="H5" t="s">
        <v>244</v>
      </c>
    </row>
    <row r="6" spans="1:8">
      <c r="A6" s="1" t="s">
        <v>74</v>
      </c>
      <c r="B6" t="str">
        <f t="shared" si="0"/>
        <v>DIS-005</v>
      </c>
      <c r="C6" t="str">
        <f>_xlfn.XLOOKUP($G6,'03_Component'!$C:$C,'03_Component'!$B:$B)</f>
        <v>COMP-004</v>
      </c>
      <c r="D6" t="str">
        <f>_xlfn.XLOOKUP($H6,'03_Component'!$C:$C,'03_Component'!$B:$B)</f>
        <v>COMP-018</v>
      </c>
      <c r="E6">
        <v>3</v>
      </c>
      <c r="G6" t="s">
        <v>121</v>
      </c>
      <c r="H6" t="s">
        <v>29</v>
      </c>
    </row>
    <row r="7" spans="1:8">
      <c r="A7" s="1" t="s">
        <v>75</v>
      </c>
      <c r="B7" t="str">
        <f t="shared" si="0"/>
        <v>DIS-006</v>
      </c>
      <c r="C7" t="str">
        <f>_xlfn.XLOOKUP($G7,'03_Component'!$C:$C,'03_Component'!$B:$B)</f>
        <v>COMP-005</v>
      </c>
      <c r="D7">
        <f>_xlfn.XLOOKUP($H7,'03_Component'!$C:$C,'03_Component'!$B:$B)</f>
        <v>0</v>
      </c>
      <c r="E7">
        <v>0</v>
      </c>
      <c r="G7" t="s">
        <v>122</v>
      </c>
    </row>
    <row r="8" spans="1:8">
      <c r="A8" s="1" t="s">
        <v>76</v>
      </c>
      <c r="B8" t="str">
        <f t="shared" si="0"/>
        <v>DIS-007</v>
      </c>
      <c r="C8" t="str">
        <f>_xlfn.XLOOKUP($G8,'03_Component'!$C:$C,'03_Component'!$B:$B)</f>
        <v>COMP-006</v>
      </c>
      <c r="D8" t="str">
        <f>_xlfn.XLOOKUP($H8,'03_Component'!$C:$C,'03_Component'!$B:$B)</f>
        <v>COMP-118</v>
      </c>
      <c r="E8">
        <v>1</v>
      </c>
      <c r="G8" t="s">
        <v>123</v>
      </c>
      <c r="H8" t="s">
        <v>200</v>
      </c>
    </row>
    <row r="9" spans="1:8">
      <c r="A9" s="1" t="s">
        <v>77</v>
      </c>
      <c r="B9" t="str">
        <f t="shared" si="0"/>
        <v>DIS-008</v>
      </c>
      <c r="C9" t="str">
        <f>_xlfn.XLOOKUP($G9,'03_Component'!$C:$C,'03_Component'!$B:$B)</f>
        <v>COMP-006</v>
      </c>
      <c r="D9" t="str">
        <f>_xlfn.XLOOKUP($H9,'03_Component'!$C:$C,'03_Component'!$B:$B)</f>
        <v>COMP-107</v>
      </c>
      <c r="E9">
        <v>6</v>
      </c>
      <c r="G9" t="s">
        <v>123</v>
      </c>
      <c r="H9" t="s">
        <v>26</v>
      </c>
    </row>
    <row r="10" spans="1:8">
      <c r="A10" s="1" t="s">
        <v>78</v>
      </c>
      <c r="B10" t="str">
        <f t="shared" si="0"/>
        <v>DIS-009</v>
      </c>
      <c r="C10" t="str">
        <f>_xlfn.XLOOKUP($G10,'03_Component'!$C:$C,'03_Component'!$B:$B)</f>
        <v>COMP-007</v>
      </c>
      <c r="D10" t="str">
        <f>_xlfn.XLOOKUP($H10,'03_Component'!$C:$C,'03_Component'!$B:$B)</f>
        <v>COMP-035</v>
      </c>
      <c r="E10">
        <v>10</v>
      </c>
      <c r="G10" t="s">
        <v>38</v>
      </c>
      <c r="H10" t="s">
        <v>27</v>
      </c>
    </row>
    <row r="11" spans="1:8">
      <c r="A11" s="1" t="s">
        <v>79</v>
      </c>
      <c r="B11" t="str">
        <f t="shared" si="0"/>
        <v>DIS-010</v>
      </c>
      <c r="C11" t="str">
        <f>_xlfn.XLOOKUP($G11,'03_Component'!$C:$C,'03_Component'!$B:$B)</f>
        <v>COMP-008</v>
      </c>
      <c r="D11" t="str">
        <f>_xlfn.XLOOKUP($H11,'03_Component'!$C:$C,'03_Component'!$B:$B)</f>
        <v>COMP-018</v>
      </c>
      <c r="E11">
        <v>3</v>
      </c>
      <c r="G11" t="s">
        <v>55</v>
      </c>
      <c r="H11" t="s">
        <v>29</v>
      </c>
    </row>
    <row r="12" spans="1:8">
      <c r="A12" s="1" t="s">
        <v>80</v>
      </c>
      <c r="B12" t="str">
        <f t="shared" si="0"/>
        <v>DIS-011</v>
      </c>
      <c r="C12" t="str">
        <f>_xlfn.XLOOKUP($G12,'03_Component'!$C:$C,'03_Component'!$B:$B)</f>
        <v>COMP-009</v>
      </c>
      <c r="D12" t="str">
        <f>_xlfn.XLOOKUP($H12,'03_Component'!$C:$C,'03_Component'!$B:$B)</f>
        <v>COMP-096</v>
      </c>
      <c r="E12">
        <v>2</v>
      </c>
      <c r="G12" t="s">
        <v>36</v>
      </c>
      <c r="H12" t="s">
        <v>24</v>
      </c>
    </row>
    <row r="13" spans="1:8">
      <c r="A13" s="1" t="s">
        <v>81</v>
      </c>
      <c r="B13" t="str">
        <f t="shared" si="0"/>
        <v>DIS-012</v>
      </c>
      <c r="C13" t="str">
        <f>_xlfn.XLOOKUP($G13,'03_Component'!$C:$C,'03_Component'!$B:$B)</f>
        <v>COMP-010</v>
      </c>
      <c r="D13" t="str">
        <f>_xlfn.XLOOKUP($H13,'03_Component'!$C:$C,'03_Component'!$B:$B)</f>
        <v>COMP-009</v>
      </c>
      <c r="E13">
        <v>2</v>
      </c>
      <c r="G13" t="s">
        <v>50</v>
      </c>
      <c r="H13" t="s">
        <v>36</v>
      </c>
    </row>
    <row r="14" spans="1:8">
      <c r="A14" s="1" t="s">
        <v>82</v>
      </c>
      <c r="B14" t="str">
        <f t="shared" si="0"/>
        <v>DIS-013</v>
      </c>
      <c r="C14" t="str">
        <f>_xlfn.XLOOKUP($G14,'03_Component'!$C:$C,'03_Component'!$B:$B)</f>
        <v>COMP-011</v>
      </c>
      <c r="D14" t="str">
        <f>_xlfn.XLOOKUP($H14,'03_Component'!$C:$C,'03_Component'!$B:$B)</f>
        <v>COMP-035</v>
      </c>
      <c r="E14">
        <v>16</v>
      </c>
      <c r="G14" t="s">
        <v>124</v>
      </c>
      <c r="H14" t="s">
        <v>27</v>
      </c>
    </row>
    <row r="15" spans="1:8">
      <c r="A15" s="1" t="s">
        <v>83</v>
      </c>
      <c r="B15" t="str">
        <f t="shared" si="0"/>
        <v>DIS-014</v>
      </c>
      <c r="C15" t="str">
        <f>_xlfn.XLOOKUP($G15,'03_Component'!$C:$C,'03_Component'!$B:$B)</f>
        <v>COMP-012</v>
      </c>
      <c r="D15" t="str">
        <f>_xlfn.XLOOKUP($H15,'03_Component'!$C:$C,'03_Component'!$B:$B)</f>
        <v>COMP-133</v>
      </c>
      <c r="E15">
        <v>16</v>
      </c>
      <c r="G15" t="s">
        <v>125</v>
      </c>
      <c r="H15" t="s">
        <v>28</v>
      </c>
    </row>
    <row r="16" spans="1:8">
      <c r="A16" s="1" t="s">
        <v>84</v>
      </c>
      <c r="B16" t="str">
        <f t="shared" si="0"/>
        <v>DIS-015</v>
      </c>
      <c r="C16" t="str">
        <f>_xlfn.XLOOKUP($G16,'03_Component'!$C:$C,'03_Component'!$B:$B)</f>
        <v>COMP-013</v>
      </c>
      <c r="D16" t="str">
        <f>_xlfn.XLOOKUP($H16,'03_Component'!$C:$C,'03_Component'!$B:$B)</f>
        <v>COMP-009</v>
      </c>
      <c r="E16">
        <v>2</v>
      </c>
      <c r="G16" t="s">
        <v>1</v>
      </c>
      <c r="H16" t="s">
        <v>36</v>
      </c>
    </row>
    <row r="17" spans="1:8">
      <c r="A17" s="1" t="s">
        <v>85</v>
      </c>
      <c r="B17" t="str">
        <f t="shared" si="0"/>
        <v>DIS-016</v>
      </c>
      <c r="C17" t="str">
        <f>_xlfn.XLOOKUP($G17,'03_Component'!$C:$C,'03_Component'!$B:$B)</f>
        <v>COMP-014</v>
      </c>
      <c r="D17" t="str">
        <f>_xlfn.XLOOKUP($H17,'03_Component'!$C:$C,'03_Component'!$B:$B)</f>
        <v>COMP-096</v>
      </c>
      <c r="E17">
        <v>12</v>
      </c>
      <c r="G17" t="s">
        <v>126</v>
      </c>
      <c r="H17" t="s">
        <v>24</v>
      </c>
    </row>
    <row r="18" spans="1:8">
      <c r="A18" s="1" t="s">
        <v>86</v>
      </c>
      <c r="B18" t="str">
        <f t="shared" si="0"/>
        <v>DIS-017</v>
      </c>
      <c r="C18" t="str">
        <f>_xlfn.XLOOKUP($G18,'03_Component'!$C:$C,'03_Component'!$B:$B)</f>
        <v>COMP-015</v>
      </c>
      <c r="D18">
        <f>_xlfn.XLOOKUP($H18,'03_Component'!$C:$C,'03_Component'!$B:$B)</f>
        <v>0</v>
      </c>
      <c r="E18">
        <v>0</v>
      </c>
      <c r="G18" t="s">
        <v>48</v>
      </c>
    </row>
    <row r="19" spans="1:8">
      <c r="A19" s="1" t="s">
        <v>87</v>
      </c>
      <c r="B19" t="str">
        <f t="shared" si="0"/>
        <v>DIS-018</v>
      </c>
      <c r="C19" t="str">
        <f>_xlfn.XLOOKUP($G19,'03_Component'!$C:$C,'03_Component'!$B:$B)</f>
        <v>COMP-016</v>
      </c>
      <c r="D19" t="str">
        <f>_xlfn.XLOOKUP($H19,'03_Component'!$C:$C,'03_Component'!$B:$B)</f>
        <v>COMP-107</v>
      </c>
      <c r="E19">
        <v>14</v>
      </c>
      <c r="G19" t="s">
        <v>127</v>
      </c>
      <c r="H19" t="s">
        <v>26</v>
      </c>
    </row>
    <row r="20" spans="1:8">
      <c r="A20" s="1" t="s">
        <v>88</v>
      </c>
      <c r="B20" t="str">
        <f t="shared" si="0"/>
        <v>DIS-019</v>
      </c>
      <c r="C20" t="str">
        <f>_xlfn.XLOOKUP($G20,'03_Component'!$C:$C,'03_Component'!$B:$B)</f>
        <v>COMP-017</v>
      </c>
      <c r="D20" t="str">
        <f>_xlfn.XLOOKUP($H20,'03_Component'!$C:$C,'03_Component'!$B:$B)</f>
        <v>COMP-065</v>
      </c>
      <c r="E20">
        <v>16</v>
      </c>
      <c r="G20" t="s">
        <v>128</v>
      </c>
      <c r="H20" t="s">
        <v>25</v>
      </c>
    </row>
    <row r="21" spans="1:8">
      <c r="A21" s="1" t="s">
        <v>89</v>
      </c>
      <c r="B21" t="str">
        <f t="shared" si="0"/>
        <v>DIS-020</v>
      </c>
      <c r="C21" t="str">
        <f>_xlfn.XLOOKUP($G21,'03_Component'!$C:$C,'03_Component'!$B:$B)</f>
        <v>COMP-018</v>
      </c>
      <c r="D21">
        <f>_xlfn.XLOOKUP($H21,'03_Component'!$C:$C,'03_Component'!$B:$B)</f>
        <v>0</v>
      </c>
      <c r="E21">
        <v>0</v>
      </c>
      <c r="G21" t="s">
        <v>29</v>
      </c>
    </row>
    <row r="22" spans="1:8">
      <c r="A22" s="1" t="s">
        <v>90</v>
      </c>
      <c r="B22" t="str">
        <f t="shared" si="0"/>
        <v>DIS-021</v>
      </c>
      <c r="C22" t="str">
        <f>_xlfn.XLOOKUP($G22,'03_Component'!$C:$C,'03_Component'!$B:$B)</f>
        <v>COMP-019</v>
      </c>
      <c r="D22" t="str">
        <f>_xlfn.XLOOKUP($H22,'03_Component'!$C:$C,'03_Component'!$B:$B)</f>
        <v>COMP-013</v>
      </c>
      <c r="E22">
        <v>2</v>
      </c>
      <c r="G22" t="s">
        <v>34</v>
      </c>
      <c r="H22" t="s">
        <v>1</v>
      </c>
    </row>
    <row r="23" spans="1:8">
      <c r="A23" s="1" t="s">
        <v>91</v>
      </c>
      <c r="B23" t="str">
        <f t="shared" si="0"/>
        <v>DIS-022</v>
      </c>
      <c r="C23" t="str">
        <f>_xlfn.XLOOKUP($G23,'03_Component'!$C:$C,'03_Component'!$B:$B)</f>
        <v>COMP-019</v>
      </c>
      <c r="D23" t="str">
        <f>_xlfn.XLOOKUP($H23,'03_Component'!$C:$C,'03_Component'!$B:$B)</f>
        <v>COMP-003</v>
      </c>
      <c r="E23">
        <v>2</v>
      </c>
      <c r="G23" t="s">
        <v>34</v>
      </c>
      <c r="H23" t="s">
        <v>8</v>
      </c>
    </row>
    <row r="24" spans="1:8">
      <c r="A24" s="1" t="s">
        <v>92</v>
      </c>
      <c r="B24" t="str">
        <f t="shared" si="0"/>
        <v>DIS-023</v>
      </c>
      <c r="C24" t="str">
        <f>_xlfn.XLOOKUP($G24,'03_Component'!$C:$C,'03_Component'!$B:$B)</f>
        <v>COMP-020</v>
      </c>
      <c r="D24" t="str">
        <f>_xlfn.XLOOKUP($H24,'03_Component'!$C:$C,'03_Component'!$B:$B)</f>
        <v>COMP-096</v>
      </c>
      <c r="E24">
        <v>2</v>
      </c>
      <c r="G24" t="s">
        <v>129</v>
      </c>
      <c r="H24" t="s">
        <v>24</v>
      </c>
    </row>
    <row r="25" spans="1:8">
      <c r="A25" s="1" t="s">
        <v>93</v>
      </c>
      <c r="B25" t="str">
        <f t="shared" si="0"/>
        <v>DIS-024</v>
      </c>
      <c r="C25" t="str">
        <f>_xlfn.XLOOKUP($G25,'03_Component'!$C:$C,'03_Component'!$B:$B)</f>
        <v>COMP-021</v>
      </c>
      <c r="D25" t="str">
        <f>_xlfn.XLOOKUP($H25,'03_Component'!$C:$C,'03_Component'!$B:$B)</f>
        <v>COMP-033</v>
      </c>
      <c r="E25">
        <v>4</v>
      </c>
      <c r="G25" t="s">
        <v>130</v>
      </c>
      <c r="H25" t="s">
        <v>141</v>
      </c>
    </row>
    <row r="26" spans="1:8">
      <c r="A26" s="1" t="s">
        <v>94</v>
      </c>
      <c r="B26" t="str">
        <f t="shared" si="0"/>
        <v>DIS-025</v>
      </c>
      <c r="C26" t="str">
        <f>_xlfn.XLOOKUP($G26,'03_Component'!$C:$C,'03_Component'!$B:$B)</f>
        <v>COMP-021</v>
      </c>
      <c r="D26" t="str">
        <f>_xlfn.XLOOKUP($H26,'03_Component'!$C:$C,'03_Component'!$B:$B)</f>
        <v>COMP-096</v>
      </c>
      <c r="E26">
        <v>10</v>
      </c>
      <c r="G26" t="s">
        <v>130</v>
      </c>
      <c r="H26" t="s">
        <v>24</v>
      </c>
    </row>
    <row r="27" spans="1:8">
      <c r="A27" s="1" t="s">
        <v>95</v>
      </c>
      <c r="B27" t="str">
        <f t="shared" si="0"/>
        <v>DIS-026</v>
      </c>
      <c r="C27" t="str">
        <f>_xlfn.XLOOKUP($G27,'03_Component'!$C:$C,'03_Component'!$B:$B)</f>
        <v>COMP-022</v>
      </c>
      <c r="D27">
        <f>_xlfn.XLOOKUP($H27,'03_Component'!$C:$C,'03_Component'!$B:$B)</f>
        <v>0</v>
      </c>
      <c r="E27">
        <v>0</v>
      </c>
      <c r="G27" t="s">
        <v>131</v>
      </c>
    </row>
    <row r="28" spans="1:8">
      <c r="A28" s="1" t="s">
        <v>96</v>
      </c>
      <c r="B28" t="str">
        <f t="shared" si="0"/>
        <v>DIS-027</v>
      </c>
      <c r="C28" t="str">
        <f>_xlfn.XLOOKUP($G28,'03_Component'!$C:$C,'03_Component'!$B:$B)</f>
        <v>COMP-023</v>
      </c>
      <c r="D28">
        <f>_xlfn.XLOOKUP($H28,'03_Component'!$C:$C,'03_Component'!$B:$B)</f>
        <v>0</v>
      </c>
      <c r="E28">
        <v>0</v>
      </c>
      <c r="G28" t="s">
        <v>132</v>
      </c>
    </row>
    <row r="29" spans="1:8">
      <c r="A29" s="1" t="s">
        <v>97</v>
      </c>
      <c r="B29" t="str">
        <f t="shared" si="0"/>
        <v>DIS-028</v>
      </c>
      <c r="C29" t="str">
        <f>_xlfn.XLOOKUP($G29,'03_Component'!$C:$C,'03_Component'!$B:$B)</f>
        <v>COMP-024</v>
      </c>
      <c r="D29" t="str">
        <f>_xlfn.XLOOKUP($H29,'03_Component'!$C:$C,'03_Component'!$B:$B)</f>
        <v>COMP-003</v>
      </c>
      <c r="E29">
        <v>2</v>
      </c>
      <c r="G29" t="s">
        <v>51</v>
      </c>
      <c r="H29" t="s">
        <v>8</v>
      </c>
    </row>
    <row r="30" spans="1:8">
      <c r="A30" s="1" t="s">
        <v>98</v>
      </c>
      <c r="B30" t="str">
        <f t="shared" si="0"/>
        <v>DIS-029</v>
      </c>
      <c r="C30" t="str">
        <f>_xlfn.XLOOKUP($G30,'03_Component'!$C:$C,'03_Component'!$B:$B)</f>
        <v>COMP-024</v>
      </c>
      <c r="D30" t="str">
        <f>_xlfn.XLOOKUP($H30,'03_Component'!$C:$C,'03_Component'!$B:$B)</f>
        <v>COMP-009</v>
      </c>
      <c r="E30">
        <v>2</v>
      </c>
      <c r="G30" t="s">
        <v>51</v>
      </c>
      <c r="H30" t="s">
        <v>36</v>
      </c>
    </row>
    <row r="31" spans="1:8">
      <c r="A31" s="1" t="s">
        <v>99</v>
      </c>
      <c r="B31" t="str">
        <f t="shared" si="0"/>
        <v>DIS-030</v>
      </c>
      <c r="C31" t="str">
        <f>_xlfn.XLOOKUP($G31,'03_Component'!$C:$C,'03_Component'!$B:$B)</f>
        <v>COMP-025</v>
      </c>
      <c r="D31">
        <f>_xlfn.XLOOKUP($H31,'03_Component'!$C:$C,'03_Component'!$B:$B)</f>
        <v>0</v>
      </c>
      <c r="E31">
        <v>0</v>
      </c>
      <c r="G31" t="s">
        <v>133</v>
      </c>
    </row>
    <row r="32" spans="1:8">
      <c r="A32" s="1" t="s">
        <v>100</v>
      </c>
      <c r="B32" t="str">
        <f t="shared" si="0"/>
        <v>DIS-031</v>
      </c>
      <c r="C32" t="str">
        <f>_xlfn.XLOOKUP($G32,'03_Component'!$C:$C,'03_Component'!$B:$B)</f>
        <v>COMP-026</v>
      </c>
      <c r="D32" t="str">
        <f>_xlfn.XLOOKUP($H32,'03_Component'!$C:$C,'03_Component'!$B:$B)</f>
        <v>COMP-020</v>
      </c>
      <c r="E32">
        <v>3</v>
      </c>
      <c r="G32" t="s">
        <v>134</v>
      </c>
      <c r="H32" t="s">
        <v>129</v>
      </c>
    </row>
    <row r="33" spans="1:8">
      <c r="A33" s="1" t="s">
        <v>101</v>
      </c>
      <c r="B33" t="str">
        <f t="shared" si="0"/>
        <v>DIS-032</v>
      </c>
      <c r="C33" t="str">
        <f>_xlfn.XLOOKUP($G33,'03_Component'!$C:$C,'03_Component'!$B:$B)</f>
        <v>COMP-026</v>
      </c>
      <c r="D33" t="str">
        <f>_xlfn.XLOOKUP($H33,'03_Component'!$C:$C,'03_Component'!$B:$B)</f>
        <v>COMP-096</v>
      </c>
      <c r="E33">
        <v>7</v>
      </c>
      <c r="G33" t="s">
        <v>134</v>
      </c>
      <c r="H33" t="s">
        <v>24</v>
      </c>
    </row>
    <row r="34" spans="1:8">
      <c r="A34" s="1" t="s">
        <v>102</v>
      </c>
      <c r="B34" t="str">
        <f t="shared" si="0"/>
        <v>DIS-033</v>
      </c>
      <c r="C34" t="str">
        <f>_xlfn.XLOOKUP($G34,'03_Component'!$C:$C,'03_Component'!$B:$B)</f>
        <v>COMP-027</v>
      </c>
      <c r="D34" t="str">
        <f>_xlfn.XLOOKUP($H34,'03_Component'!$C:$C,'03_Component'!$B:$B)</f>
        <v>COMP-146</v>
      </c>
      <c r="E34">
        <v>3</v>
      </c>
      <c r="G34" t="s">
        <v>135</v>
      </c>
      <c r="H34" t="s">
        <v>223</v>
      </c>
    </row>
    <row r="35" spans="1:8">
      <c r="A35" s="1" t="s">
        <v>103</v>
      </c>
      <c r="B35" t="str">
        <f t="shared" si="0"/>
        <v>DIS-034</v>
      </c>
      <c r="C35" t="str">
        <f>_xlfn.XLOOKUP($G35,'03_Component'!$C:$C,'03_Component'!$B:$B)</f>
        <v>COMP-027</v>
      </c>
      <c r="D35" t="str">
        <f>_xlfn.XLOOKUP($H35,'03_Component'!$C:$C,'03_Component'!$B:$B)</f>
        <v>COMP-175</v>
      </c>
      <c r="E35">
        <v>3</v>
      </c>
      <c r="G35" t="s">
        <v>135</v>
      </c>
      <c r="H35" t="s">
        <v>244</v>
      </c>
    </row>
    <row r="36" spans="1:8">
      <c r="A36" s="1" t="s">
        <v>104</v>
      </c>
      <c r="B36" t="str">
        <f t="shared" si="0"/>
        <v>DIS-035</v>
      </c>
      <c r="C36" t="str">
        <f>_xlfn.XLOOKUP($G36,'03_Component'!$C:$C,'03_Component'!$B:$B)</f>
        <v>COMP-028</v>
      </c>
      <c r="D36" t="str">
        <f>_xlfn.XLOOKUP($H36,'03_Component'!$C:$C,'03_Component'!$B:$B)</f>
        <v>COMP-107</v>
      </c>
      <c r="E36">
        <v>12</v>
      </c>
      <c r="G36" t="s">
        <v>136</v>
      </c>
      <c r="H36" t="s">
        <v>26</v>
      </c>
    </row>
    <row r="37" spans="1:8">
      <c r="A37" s="1" t="s">
        <v>105</v>
      </c>
      <c r="B37" t="str">
        <f t="shared" si="0"/>
        <v>DIS-036</v>
      </c>
      <c r="C37" t="str">
        <f>_xlfn.XLOOKUP($G37,'03_Component'!$C:$C,'03_Component'!$B:$B)</f>
        <v>COMP-029</v>
      </c>
      <c r="D37" t="str">
        <f>_xlfn.XLOOKUP($H37,'03_Component'!$C:$C,'03_Component'!$B:$B)</f>
        <v>COMP-020</v>
      </c>
      <c r="E37">
        <v>2</v>
      </c>
      <c r="G37" t="s">
        <v>137</v>
      </c>
      <c r="H37" t="s">
        <v>129</v>
      </c>
    </row>
    <row r="38" spans="1:8">
      <c r="A38" s="1" t="s">
        <v>106</v>
      </c>
      <c r="B38" t="str">
        <f t="shared" si="0"/>
        <v>DIS-037</v>
      </c>
      <c r="C38" t="str">
        <f>_xlfn.XLOOKUP($G38,'03_Component'!$C:$C,'03_Component'!$B:$B)</f>
        <v>COMP-029</v>
      </c>
      <c r="D38" t="str">
        <f>_xlfn.XLOOKUP($H38,'03_Component'!$C:$C,'03_Component'!$B:$B)</f>
        <v>COMP-175</v>
      </c>
      <c r="E38">
        <v>2</v>
      </c>
      <c r="G38" t="s">
        <v>137</v>
      </c>
      <c r="H38" t="s">
        <v>244</v>
      </c>
    </row>
    <row r="39" spans="1:8">
      <c r="A39" s="1" t="s">
        <v>107</v>
      </c>
      <c r="B39" t="str">
        <f t="shared" si="0"/>
        <v>DIS-038</v>
      </c>
      <c r="C39" t="str">
        <f>_xlfn.XLOOKUP($G39,'03_Component'!$C:$C,'03_Component'!$B:$B)</f>
        <v>COMP-030</v>
      </c>
      <c r="D39" t="str">
        <f>_xlfn.XLOOKUP($H39,'03_Component'!$C:$C,'03_Component'!$B:$B)</f>
        <v>COMP-009</v>
      </c>
      <c r="E39">
        <v>2</v>
      </c>
      <c r="G39" t="s">
        <v>138</v>
      </c>
      <c r="H39" t="s">
        <v>36</v>
      </c>
    </row>
    <row r="40" spans="1:8">
      <c r="A40" s="1" t="s">
        <v>108</v>
      </c>
      <c r="B40" t="str">
        <f t="shared" si="0"/>
        <v>DIS-039</v>
      </c>
      <c r="C40" t="str">
        <f>_xlfn.XLOOKUP($G40,'03_Component'!$C:$C,'03_Component'!$B:$B)</f>
        <v>COMP-031</v>
      </c>
      <c r="D40" t="str">
        <f>_xlfn.XLOOKUP($H40,'03_Component'!$C:$C,'03_Component'!$B:$B)</f>
        <v>COMP-107</v>
      </c>
      <c r="E40">
        <v>8</v>
      </c>
      <c r="G40" t="s">
        <v>139</v>
      </c>
      <c r="H40" t="s">
        <v>26</v>
      </c>
    </row>
    <row r="41" spans="1:8">
      <c r="A41" s="1" t="s">
        <v>109</v>
      </c>
      <c r="B41" t="str">
        <f t="shared" si="0"/>
        <v>DIS-040</v>
      </c>
      <c r="C41" t="str">
        <f>_xlfn.XLOOKUP($G41,'03_Component'!$C:$C,'03_Component'!$B:$B)</f>
        <v>COMP-032</v>
      </c>
      <c r="D41" t="str">
        <f>_xlfn.XLOOKUP($H41,'03_Component'!$C:$C,'03_Component'!$B:$B)</f>
        <v>COMP-096</v>
      </c>
      <c r="E41">
        <v>8</v>
      </c>
      <c r="G41" t="s">
        <v>140</v>
      </c>
      <c r="H41" t="s">
        <v>24</v>
      </c>
    </row>
    <row r="42" spans="1:8">
      <c r="A42" s="1" t="s">
        <v>110</v>
      </c>
      <c r="B42" t="str">
        <f t="shared" si="0"/>
        <v>DIS-041</v>
      </c>
      <c r="C42" t="str">
        <f>_xlfn.XLOOKUP($G42,'03_Component'!$C:$C,'03_Component'!$B:$B)</f>
        <v>COMP-033</v>
      </c>
      <c r="D42" t="str">
        <f>_xlfn.XLOOKUP($H42,'03_Component'!$C:$C,'03_Component'!$B:$B)</f>
        <v>COMP-107</v>
      </c>
      <c r="E42">
        <v>3</v>
      </c>
      <c r="G42" t="s">
        <v>141</v>
      </c>
      <c r="H42" t="s">
        <v>26</v>
      </c>
    </row>
    <row r="43" spans="1:8">
      <c r="A43" s="1" t="s">
        <v>111</v>
      </c>
      <c r="B43" t="str">
        <f t="shared" si="0"/>
        <v>DIS-042</v>
      </c>
      <c r="C43" t="str">
        <f>_xlfn.XLOOKUP($G43,'03_Component'!$C:$C,'03_Component'!$B:$B)</f>
        <v>COMP-034</v>
      </c>
      <c r="D43">
        <f>_xlfn.XLOOKUP($H43,'03_Component'!$C:$C,'03_Component'!$B:$B)</f>
        <v>0</v>
      </c>
      <c r="E43">
        <v>0</v>
      </c>
      <c r="G43" t="s">
        <v>58</v>
      </c>
    </row>
    <row r="44" spans="1:8">
      <c r="A44" s="1" t="s">
        <v>112</v>
      </c>
      <c r="B44" t="str">
        <f t="shared" si="0"/>
        <v>DIS-043</v>
      </c>
      <c r="C44" t="str">
        <f>_xlfn.XLOOKUP($G44,'03_Component'!$C:$C,'03_Component'!$B:$B)</f>
        <v>COMP-035</v>
      </c>
      <c r="D44">
        <f>_xlfn.XLOOKUP($H44,'03_Component'!$C:$C,'03_Component'!$B:$B)</f>
        <v>0</v>
      </c>
      <c r="E44">
        <v>0</v>
      </c>
      <c r="G44" t="s">
        <v>27</v>
      </c>
    </row>
    <row r="45" spans="1:8">
      <c r="A45" s="1" t="s">
        <v>113</v>
      </c>
      <c r="B45" t="str">
        <f t="shared" si="0"/>
        <v>DIS-044</v>
      </c>
      <c r="C45" t="str">
        <f>_xlfn.XLOOKUP($G45,'03_Component'!$C:$C,'03_Component'!$B:$B)</f>
        <v>COMP-036</v>
      </c>
      <c r="D45">
        <f>_xlfn.XLOOKUP($H45,'03_Component'!$C:$C,'03_Component'!$B:$B)</f>
        <v>0</v>
      </c>
      <c r="E45">
        <v>0</v>
      </c>
      <c r="G45" t="s">
        <v>142</v>
      </c>
    </row>
    <row r="46" spans="1:8">
      <c r="A46" s="1" t="s">
        <v>114</v>
      </c>
      <c r="B46" t="str">
        <f t="shared" si="0"/>
        <v>DIS-045</v>
      </c>
      <c r="C46" t="str">
        <f>_xlfn.XLOOKUP($G46,'03_Component'!$C:$C,'03_Component'!$B:$B)</f>
        <v>COMP-037</v>
      </c>
      <c r="D46" t="str">
        <f>_xlfn.XLOOKUP($H46,'03_Component'!$C:$C,'03_Component'!$B:$B)</f>
        <v>COMP-149</v>
      </c>
      <c r="E46">
        <v>3</v>
      </c>
      <c r="G46" t="s">
        <v>143</v>
      </c>
      <c r="H46" t="s">
        <v>225</v>
      </c>
    </row>
    <row r="47" spans="1:8">
      <c r="A47" s="1" t="s">
        <v>115</v>
      </c>
      <c r="B47" t="str">
        <f t="shared" si="0"/>
        <v>DIS-046</v>
      </c>
      <c r="C47" t="str">
        <f>_xlfn.XLOOKUP($G47,'03_Component'!$C:$C,'03_Component'!$B:$B)</f>
        <v>COMP-038</v>
      </c>
      <c r="D47" t="str">
        <f>_xlfn.XLOOKUP($H47,'03_Component'!$C:$C,'03_Component'!$B:$B)</f>
        <v>COMP-035</v>
      </c>
      <c r="E47">
        <v>5</v>
      </c>
      <c r="G47" t="s">
        <v>144</v>
      </c>
      <c r="H47" t="s">
        <v>27</v>
      </c>
    </row>
    <row r="48" spans="1:8">
      <c r="A48" s="1" t="s">
        <v>116</v>
      </c>
      <c r="B48" t="str">
        <f t="shared" si="0"/>
        <v>DIS-047</v>
      </c>
      <c r="C48" t="str">
        <f>_xlfn.XLOOKUP($G48,'03_Component'!$C:$C,'03_Component'!$B:$B)</f>
        <v>COMP-038</v>
      </c>
      <c r="D48" t="str">
        <f>_xlfn.XLOOKUP($H48,'03_Component'!$C:$C,'03_Component'!$B:$B)</f>
        <v>COMP-104</v>
      </c>
      <c r="E48">
        <v>2</v>
      </c>
      <c r="G48" t="s">
        <v>144</v>
      </c>
      <c r="H48" t="s">
        <v>191</v>
      </c>
    </row>
    <row r="49" spans="1:8">
      <c r="A49" s="1" t="s">
        <v>117</v>
      </c>
      <c r="B49" t="str">
        <f t="shared" si="0"/>
        <v>DIS-048</v>
      </c>
      <c r="C49" t="str">
        <f>_xlfn.XLOOKUP($G49,'03_Component'!$C:$C,'03_Component'!$B:$B)</f>
        <v>COMP-039</v>
      </c>
      <c r="D49" t="str">
        <f>_xlfn.XLOOKUP($H49,'03_Component'!$C:$C,'03_Component'!$B:$B)</f>
        <v>COMP-035</v>
      </c>
      <c r="E49">
        <v>6</v>
      </c>
      <c r="G49" t="s">
        <v>145</v>
      </c>
      <c r="H49" t="s">
        <v>27</v>
      </c>
    </row>
    <row r="50" spans="1:8">
      <c r="A50" s="1" t="s">
        <v>118</v>
      </c>
      <c r="B50" t="str">
        <f t="shared" si="0"/>
        <v>DIS-049</v>
      </c>
      <c r="C50" t="str">
        <f>_xlfn.XLOOKUP($G50,'03_Component'!$C:$C,'03_Component'!$B:$B)</f>
        <v>COMP-039</v>
      </c>
      <c r="D50" t="str">
        <f>_xlfn.XLOOKUP($H50,'03_Component'!$C:$C,'03_Component'!$B:$B)</f>
        <v>COMP-155</v>
      </c>
      <c r="E50">
        <v>2</v>
      </c>
      <c r="G50" t="s">
        <v>145</v>
      </c>
      <c r="H50" t="s">
        <v>230</v>
      </c>
    </row>
    <row r="51" spans="1:8">
      <c r="A51" s="1" t="s">
        <v>119</v>
      </c>
      <c r="B51" t="str">
        <f t="shared" si="0"/>
        <v>DIS-050</v>
      </c>
      <c r="C51" t="str">
        <f>_xlfn.XLOOKUP($G51,'03_Component'!$C:$C,'03_Component'!$B:$B)</f>
        <v>COMP-040</v>
      </c>
      <c r="D51" t="str">
        <f>_xlfn.XLOOKUP($H51,'03_Component'!$C:$C,'03_Component'!$B:$B)</f>
        <v>COMP-107</v>
      </c>
      <c r="E51">
        <v>14</v>
      </c>
      <c r="G51" t="s">
        <v>146</v>
      </c>
      <c r="H51" t="s">
        <v>26</v>
      </c>
    </row>
    <row r="52" spans="1:8">
      <c r="A52" s="1" t="s">
        <v>245</v>
      </c>
      <c r="B52" t="str">
        <f t="shared" si="0"/>
        <v>DIS-051</v>
      </c>
      <c r="C52" t="str">
        <f>_xlfn.XLOOKUP($G52,'03_Component'!$C:$C,'03_Component'!$B:$B)</f>
        <v>COMP-040</v>
      </c>
      <c r="D52" t="str">
        <f>_xlfn.XLOOKUP($H52,'03_Component'!$C:$C,'03_Component'!$B:$B)</f>
        <v>COMP-020</v>
      </c>
      <c r="E52">
        <v>4</v>
      </c>
      <c r="G52" t="s">
        <v>146</v>
      </c>
      <c r="H52" t="s">
        <v>129</v>
      </c>
    </row>
    <row r="53" spans="1:8">
      <c r="A53" s="1" t="s">
        <v>246</v>
      </c>
      <c r="B53" t="str">
        <f t="shared" si="0"/>
        <v>DIS-052</v>
      </c>
      <c r="C53" t="str">
        <f>_xlfn.XLOOKUP($G53,'03_Component'!$C:$C,'03_Component'!$B:$B)</f>
        <v>COMP-041</v>
      </c>
      <c r="D53" t="str">
        <f>_xlfn.XLOOKUP($H53,'03_Component'!$C:$C,'03_Component'!$B:$B)</f>
        <v>COMP-133</v>
      </c>
      <c r="E53">
        <v>3</v>
      </c>
      <c r="G53" t="s">
        <v>16</v>
      </c>
      <c r="H53" t="s">
        <v>28</v>
      </c>
    </row>
    <row r="54" spans="1:8">
      <c r="A54" s="1" t="s">
        <v>247</v>
      </c>
      <c r="B54" t="str">
        <f t="shared" si="0"/>
        <v>DIS-053</v>
      </c>
      <c r="C54" t="str">
        <f>_xlfn.XLOOKUP($G54,'03_Component'!$C:$C,'03_Component'!$B:$B)</f>
        <v>COMP-041</v>
      </c>
      <c r="D54" t="str">
        <f>_xlfn.XLOOKUP($H54,'03_Component'!$C:$C,'03_Component'!$B:$B)</f>
        <v>COMP-020</v>
      </c>
      <c r="E54">
        <v>5</v>
      </c>
      <c r="G54" t="s">
        <v>16</v>
      </c>
      <c r="H54" t="s">
        <v>129</v>
      </c>
    </row>
    <row r="55" spans="1:8">
      <c r="A55" s="1" t="s">
        <v>248</v>
      </c>
      <c r="B55" t="str">
        <f t="shared" si="0"/>
        <v>DIS-054</v>
      </c>
      <c r="C55" t="str">
        <f>_xlfn.XLOOKUP($G55,'03_Component'!$C:$C,'03_Component'!$B:$B)</f>
        <v>COMP-042</v>
      </c>
      <c r="D55" t="str">
        <f>_xlfn.XLOOKUP($H55,'03_Component'!$C:$C,'03_Component'!$B:$B)</f>
        <v>COMP-035</v>
      </c>
      <c r="E55">
        <v>3</v>
      </c>
      <c r="G55" t="s">
        <v>14</v>
      </c>
      <c r="H55" t="s">
        <v>27</v>
      </c>
    </row>
    <row r="56" spans="1:8">
      <c r="A56" s="1" t="s">
        <v>249</v>
      </c>
      <c r="B56" t="str">
        <f t="shared" si="0"/>
        <v>DIS-055</v>
      </c>
      <c r="C56" t="str">
        <f>_xlfn.XLOOKUP($G56,'03_Component'!$C:$C,'03_Component'!$B:$B)</f>
        <v>COMP-043</v>
      </c>
      <c r="D56" t="str">
        <f>_xlfn.XLOOKUP($H56,'03_Component'!$C:$C,'03_Component'!$B:$B)</f>
        <v>COMP-107</v>
      </c>
      <c r="E56">
        <v>3</v>
      </c>
      <c r="G56" t="s">
        <v>147</v>
      </c>
      <c r="H56" t="s">
        <v>26</v>
      </c>
    </row>
    <row r="57" spans="1:8">
      <c r="A57" s="1" t="s">
        <v>250</v>
      </c>
      <c r="B57" t="str">
        <f t="shared" si="0"/>
        <v>DIS-056</v>
      </c>
      <c r="C57" t="str">
        <f>_xlfn.XLOOKUP($G57,'03_Component'!$C:$C,'03_Component'!$B:$B)</f>
        <v>COMP-044</v>
      </c>
      <c r="D57" t="str">
        <f>_xlfn.XLOOKUP($H57,'03_Component'!$C:$C,'03_Component'!$B:$B)</f>
        <v>COMP-009</v>
      </c>
      <c r="E57">
        <v>2</v>
      </c>
      <c r="G57" t="s">
        <v>148</v>
      </c>
      <c r="H57" t="s">
        <v>36</v>
      </c>
    </row>
    <row r="58" spans="1:8">
      <c r="A58" s="1" t="s">
        <v>251</v>
      </c>
      <c r="B58" t="str">
        <f t="shared" si="0"/>
        <v>DIS-057</v>
      </c>
      <c r="C58" t="str">
        <f>_xlfn.XLOOKUP($G58,'03_Component'!$C:$C,'03_Component'!$B:$B)</f>
        <v>COMP-045</v>
      </c>
      <c r="D58" t="str">
        <f>_xlfn.XLOOKUP($H58,'03_Component'!$C:$C,'03_Component'!$B:$B)</f>
        <v>COMP-009</v>
      </c>
      <c r="E58">
        <v>1</v>
      </c>
      <c r="G58" t="s">
        <v>149</v>
      </c>
      <c r="H58" t="s">
        <v>36</v>
      </c>
    </row>
    <row r="59" spans="1:8">
      <c r="A59" s="1" t="s">
        <v>252</v>
      </c>
      <c r="B59" t="str">
        <f t="shared" si="0"/>
        <v>DIS-058</v>
      </c>
      <c r="C59" t="str">
        <f>_xlfn.XLOOKUP($G59,'03_Component'!$C:$C,'03_Component'!$B:$B)</f>
        <v>COMP-046</v>
      </c>
      <c r="D59" t="str">
        <f>_xlfn.XLOOKUP($H59,'03_Component'!$C:$C,'03_Component'!$B:$B)</f>
        <v>COMP-009</v>
      </c>
      <c r="E59">
        <v>1</v>
      </c>
      <c r="G59" t="s">
        <v>150</v>
      </c>
      <c r="H59" t="s">
        <v>36</v>
      </c>
    </row>
    <row r="60" spans="1:8">
      <c r="A60" s="1" t="s">
        <v>253</v>
      </c>
      <c r="B60" t="str">
        <f t="shared" si="0"/>
        <v>DIS-059</v>
      </c>
      <c r="C60" t="str">
        <f>_xlfn.XLOOKUP($G60,'03_Component'!$C:$C,'03_Component'!$B:$B)</f>
        <v>COMP-047</v>
      </c>
      <c r="D60" t="str">
        <f>_xlfn.XLOOKUP($H60,'03_Component'!$C:$C,'03_Component'!$B:$B)</f>
        <v>COMP-096</v>
      </c>
      <c r="E60">
        <v>6</v>
      </c>
      <c r="G60" t="s">
        <v>19</v>
      </c>
      <c r="H60" t="s">
        <v>24</v>
      </c>
    </row>
    <row r="61" spans="1:8">
      <c r="A61" s="1" t="s">
        <v>254</v>
      </c>
      <c r="B61" t="str">
        <f t="shared" si="0"/>
        <v>DIS-060</v>
      </c>
      <c r="C61" t="str">
        <f>_xlfn.XLOOKUP($G61,'03_Component'!$C:$C,'03_Component'!$B:$B)</f>
        <v>COMP-047</v>
      </c>
      <c r="D61" t="str">
        <f>_xlfn.XLOOKUP($H61,'03_Component'!$C:$C,'03_Component'!$B:$B)</f>
        <v>COMP-175</v>
      </c>
      <c r="E61">
        <v>2</v>
      </c>
      <c r="G61" t="s">
        <v>19</v>
      </c>
      <c r="H61" t="s">
        <v>244</v>
      </c>
    </row>
    <row r="62" spans="1:8">
      <c r="A62" s="1" t="s">
        <v>255</v>
      </c>
      <c r="B62" t="str">
        <f t="shared" si="0"/>
        <v>DIS-061</v>
      </c>
      <c r="C62" t="str">
        <f>_xlfn.XLOOKUP($G62,'03_Component'!$C:$C,'03_Component'!$B:$B)</f>
        <v>COMP-048</v>
      </c>
      <c r="D62" t="str">
        <f>_xlfn.XLOOKUP($H62,'03_Component'!$C:$C,'03_Component'!$B:$B)</f>
        <v>COMP-009</v>
      </c>
      <c r="E62">
        <v>2</v>
      </c>
      <c r="G62" t="s">
        <v>151</v>
      </c>
      <c r="H62" t="s">
        <v>36</v>
      </c>
    </row>
    <row r="63" spans="1:8">
      <c r="A63" s="1" t="s">
        <v>256</v>
      </c>
      <c r="B63" t="str">
        <f t="shared" si="0"/>
        <v>DIS-062</v>
      </c>
      <c r="C63" t="str">
        <f>_xlfn.XLOOKUP($G63,'03_Component'!$C:$C,'03_Component'!$B:$B)</f>
        <v>COMP-049</v>
      </c>
      <c r="D63" t="str">
        <f>_xlfn.XLOOKUP($H63,'03_Component'!$C:$C,'03_Component'!$B:$B)</f>
        <v>COMP-009</v>
      </c>
      <c r="E63">
        <v>3</v>
      </c>
      <c r="G63" t="s">
        <v>152</v>
      </c>
      <c r="H63" t="s">
        <v>36</v>
      </c>
    </row>
    <row r="64" spans="1:8">
      <c r="A64" s="1" t="s">
        <v>257</v>
      </c>
      <c r="B64" t="str">
        <f t="shared" si="0"/>
        <v>DIS-063</v>
      </c>
      <c r="C64" t="str">
        <f>_xlfn.XLOOKUP($G64,'03_Component'!$C:$C,'03_Component'!$B:$B)</f>
        <v>COMP-050</v>
      </c>
      <c r="D64" t="str">
        <f>_xlfn.XLOOKUP($H64,'03_Component'!$C:$C,'03_Component'!$B:$B)</f>
        <v>COMP-009</v>
      </c>
      <c r="E64">
        <v>1</v>
      </c>
      <c r="G64" t="s">
        <v>153</v>
      </c>
      <c r="H64" t="s">
        <v>36</v>
      </c>
    </row>
    <row r="65" spans="1:8">
      <c r="A65" s="1" t="s">
        <v>258</v>
      </c>
      <c r="B65" t="str">
        <f t="shared" si="0"/>
        <v>DIS-064</v>
      </c>
      <c r="C65" t="str">
        <f>_xlfn.XLOOKUP($G65,'03_Component'!$C:$C,'03_Component'!$B:$B)</f>
        <v>COMP-051</v>
      </c>
      <c r="D65">
        <f>_xlfn.XLOOKUP($H65,'03_Component'!$C:$C,'03_Component'!$B:$B)</f>
        <v>0</v>
      </c>
      <c r="E65">
        <v>0</v>
      </c>
      <c r="G65" t="s">
        <v>154</v>
      </c>
    </row>
    <row r="66" spans="1:8">
      <c r="A66" s="1" t="s">
        <v>259</v>
      </c>
      <c r="B66" t="str">
        <f t="shared" ref="B66:B129" si="1">_xlfn.CONCAT("DIS-",A66)</f>
        <v>DIS-065</v>
      </c>
      <c r="C66" t="str">
        <f>_xlfn.XLOOKUP($G66,'03_Component'!$C:$C,'03_Component'!$B:$B)</f>
        <v>COMP-052</v>
      </c>
      <c r="D66" t="str">
        <f>_xlfn.XLOOKUP($H66,'03_Component'!$C:$C,'03_Component'!$B:$B)</f>
        <v>COMP-133</v>
      </c>
      <c r="E66">
        <v>15</v>
      </c>
      <c r="G66" t="s">
        <v>155</v>
      </c>
      <c r="H66" t="s">
        <v>28</v>
      </c>
    </row>
    <row r="67" spans="1:8">
      <c r="A67" s="1" t="s">
        <v>260</v>
      </c>
      <c r="B67" t="str">
        <f t="shared" si="1"/>
        <v>DIS-066</v>
      </c>
      <c r="C67" t="str">
        <f>_xlfn.XLOOKUP($G67,'03_Component'!$C:$C,'03_Component'!$B:$B)</f>
        <v>COMP-053</v>
      </c>
      <c r="D67" t="str">
        <f>_xlfn.XLOOKUP($H67,'03_Component'!$C:$C,'03_Component'!$B:$B)</f>
        <v>COMP-133</v>
      </c>
      <c r="E67">
        <v>11</v>
      </c>
      <c r="G67" t="s">
        <v>156</v>
      </c>
      <c r="H67" t="s">
        <v>28</v>
      </c>
    </row>
    <row r="68" spans="1:8">
      <c r="A68" s="1" t="s">
        <v>261</v>
      </c>
      <c r="B68" t="str">
        <f t="shared" si="1"/>
        <v>DIS-067</v>
      </c>
      <c r="C68" t="str">
        <f>_xlfn.XLOOKUP($G68,'03_Component'!$C:$C,'03_Component'!$B:$B)</f>
        <v>COMP-054</v>
      </c>
      <c r="D68" t="str">
        <f>_xlfn.XLOOKUP($H68,'03_Component'!$C:$C,'03_Component'!$B:$B)</f>
        <v>COMP-133</v>
      </c>
      <c r="E68">
        <v>12</v>
      </c>
      <c r="G68" t="s">
        <v>157</v>
      </c>
      <c r="H68" t="s">
        <v>28</v>
      </c>
    </row>
    <row r="69" spans="1:8">
      <c r="A69" s="1" t="s">
        <v>262</v>
      </c>
      <c r="B69" t="str">
        <f t="shared" si="1"/>
        <v>DIS-068</v>
      </c>
      <c r="C69" t="str">
        <f>_xlfn.XLOOKUP($G69,'03_Component'!$C:$C,'03_Component'!$B:$B)</f>
        <v>COMP-055</v>
      </c>
      <c r="D69" t="str">
        <f>_xlfn.XLOOKUP($H69,'03_Component'!$C:$C,'03_Component'!$B:$B)</f>
        <v>COMP-065</v>
      </c>
      <c r="E69">
        <v>8</v>
      </c>
      <c r="G69" t="s">
        <v>53</v>
      </c>
      <c r="H69" t="s">
        <v>25</v>
      </c>
    </row>
    <row r="70" spans="1:8">
      <c r="A70" s="1" t="s">
        <v>263</v>
      </c>
      <c r="B70" t="str">
        <f t="shared" si="1"/>
        <v>DIS-069</v>
      </c>
      <c r="C70" t="str">
        <f>_xlfn.XLOOKUP($G70,'03_Component'!$C:$C,'03_Component'!$B:$B)</f>
        <v>COMP-055</v>
      </c>
      <c r="D70" t="str">
        <f>_xlfn.XLOOKUP($H70,'03_Component'!$C:$C,'03_Component'!$B:$B)</f>
        <v>COMP-096</v>
      </c>
      <c r="E70">
        <v>1</v>
      </c>
      <c r="G70" t="s">
        <v>53</v>
      </c>
      <c r="H70" t="s">
        <v>24</v>
      </c>
    </row>
    <row r="71" spans="1:8">
      <c r="A71" s="1" t="s">
        <v>264</v>
      </c>
      <c r="B71" t="str">
        <f t="shared" si="1"/>
        <v>DIS-070</v>
      </c>
      <c r="C71" t="str">
        <f>_xlfn.XLOOKUP($G71,'03_Component'!$C:$C,'03_Component'!$B:$B)</f>
        <v>COMP-056</v>
      </c>
      <c r="D71" t="str">
        <f>_xlfn.XLOOKUP($H71,'03_Component'!$C:$C,'03_Component'!$B:$B)</f>
        <v>COMP-107</v>
      </c>
      <c r="E71">
        <v>9</v>
      </c>
      <c r="G71" t="s">
        <v>158</v>
      </c>
      <c r="H71" t="s">
        <v>26</v>
      </c>
    </row>
    <row r="72" spans="1:8">
      <c r="A72" s="1" t="s">
        <v>265</v>
      </c>
      <c r="B72" t="str">
        <f t="shared" si="1"/>
        <v>DIS-071</v>
      </c>
      <c r="C72" t="str">
        <f>_xlfn.XLOOKUP($G72,'03_Component'!$C:$C,'03_Component'!$B:$B)</f>
        <v>COMP-057</v>
      </c>
      <c r="D72" t="str">
        <f>_xlfn.XLOOKUP($H72,'03_Component'!$C:$C,'03_Component'!$B:$B)</f>
        <v>COMP-065</v>
      </c>
      <c r="E72">
        <v>3</v>
      </c>
      <c r="G72" t="s">
        <v>159</v>
      </c>
      <c r="H72" t="s">
        <v>25</v>
      </c>
    </row>
    <row r="73" spans="1:8">
      <c r="A73" s="1" t="s">
        <v>266</v>
      </c>
      <c r="B73" t="str">
        <f t="shared" si="1"/>
        <v>DIS-072</v>
      </c>
      <c r="C73" t="str">
        <f>_xlfn.XLOOKUP($G73,'03_Component'!$C:$C,'03_Component'!$B:$B)</f>
        <v>COMP-058</v>
      </c>
      <c r="D73" t="str">
        <f>_xlfn.XLOOKUP($H73,'03_Component'!$C:$C,'03_Component'!$B:$B)</f>
        <v>COMP-065</v>
      </c>
      <c r="E73">
        <v>6</v>
      </c>
      <c r="G73" t="s">
        <v>17</v>
      </c>
      <c r="H73" t="s">
        <v>25</v>
      </c>
    </row>
    <row r="74" spans="1:8">
      <c r="A74" s="1" t="s">
        <v>267</v>
      </c>
      <c r="B74" t="str">
        <f t="shared" si="1"/>
        <v>DIS-073</v>
      </c>
      <c r="C74" t="str">
        <f>_xlfn.XLOOKUP($G74,'03_Component'!$C:$C,'03_Component'!$B:$B)</f>
        <v>COMP-059</v>
      </c>
      <c r="D74" t="str">
        <f>_xlfn.XLOOKUP($H74,'03_Component'!$C:$C,'03_Component'!$B:$B)</f>
        <v>COMP-107</v>
      </c>
      <c r="E74">
        <v>3</v>
      </c>
      <c r="G74" t="s">
        <v>11</v>
      </c>
      <c r="H74" t="s">
        <v>26</v>
      </c>
    </row>
    <row r="75" spans="1:8">
      <c r="A75" s="1" t="s">
        <v>268</v>
      </c>
      <c r="B75" t="str">
        <f t="shared" si="1"/>
        <v>DIS-074</v>
      </c>
      <c r="C75" t="str">
        <f>_xlfn.XLOOKUP($G75,'03_Component'!$C:$C,'03_Component'!$B:$B)</f>
        <v>COMP-059</v>
      </c>
      <c r="D75" t="str">
        <f>_xlfn.XLOOKUP($H75,'03_Component'!$C:$C,'03_Component'!$B:$B)</f>
        <v>COMP-133</v>
      </c>
      <c r="E75">
        <v>3</v>
      </c>
      <c r="G75" t="s">
        <v>11</v>
      </c>
      <c r="H75" t="s">
        <v>28</v>
      </c>
    </row>
    <row r="76" spans="1:8">
      <c r="A76" s="1" t="s">
        <v>269</v>
      </c>
      <c r="B76" t="str">
        <f t="shared" si="1"/>
        <v>DIS-075</v>
      </c>
      <c r="C76" t="str">
        <f>_xlfn.XLOOKUP($G76,'03_Component'!$C:$C,'03_Component'!$B:$B)</f>
        <v>COMP-060</v>
      </c>
      <c r="D76">
        <f>_xlfn.XLOOKUP($H76,'03_Component'!$C:$C,'03_Component'!$B:$B)</f>
        <v>0</v>
      </c>
      <c r="E76">
        <v>0</v>
      </c>
      <c r="G76" t="s">
        <v>160</v>
      </c>
    </row>
    <row r="77" spans="1:8">
      <c r="A77" s="1" t="s">
        <v>270</v>
      </c>
      <c r="B77" t="str">
        <f t="shared" si="1"/>
        <v>DIS-076</v>
      </c>
      <c r="C77" t="str">
        <f>_xlfn.XLOOKUP($G77,'03_Component'!$C:$C,'03_Component'!$B:$B)</f>
        <v>COMP-061</v>
      </c>
      <c r="D77" t="str">
        <f>_xlfn.XLOOKUP($H77,'03_Component'!$C:$C,'03_Component'!$B:$B)</f>
        <v>COMP-091</v>
      </c>
      <c r="E77">
        <v>2</v>
      </c>
      <c r="G77" t="s">
        <v>161</v>
      </c>
      <c r="H77" t="s">
        <v>182</v>
      </c>
    </row>
    <row r="78" spans="1:8">
      <c r="A78" s="1" t="s">
        <v>271</v>
      </c>
      <c r="B78" t="str">
        <f t="shared" si="1"/>
        <v>DIS-077</v>
      </c>
      <c r="C78" t="str">
        <f>_xlfn.XLOOKUP($G78,'03_Component'!$C:$C,'03_Component'!$B:$B)</f>
        <v>COMP-061</v>
      </c>
      <c r="D78" t="str">
        <f>_xlfn.XLOOKUP($H78,'03_Component'!$C:$C,'03_Component'!$B:$B)</f>
        <v>COMP-093</v>
      </c>
      <c r="E78">
        <v>1</v>
      </c>
      <c r="G78" t="s">
        <v>161</v>
      </c>
      <c r="H78" t="s">
        <v>5</v>
      </c>
    </row>
    <row r="79" spans="1:8">
      <c r="A79" s="1" t="s">
        <v>272</v>
      </c>
      <c r="B79" t="str">
        <f t="shared" si="1"/>
        <v>DIS-078</v>
      </c>
      <c r="C79" t="str">
        <f>_xlfn.XLOOKUP($G79,'03_Component'!$C:$C,'03_Component'!$B:$B)</f>
        <v>COMP-062</v>
      </c>
      <c r="D79">
        <f>_xlfn.XLOOKUP($H79,'03_Component'!$C:$C,'03_Component'!$B:$B)</f>
        <v>0</v>
      </c>
      <c r="E79">
        <v>0</v>
      </c>
      <c r="G79" t="s">
        <v>162</v>
      </c>
    </row>
    <row r="80" spans="1:8">
      <c r="A80" s="1" t="s">
        <v>273</v>
      </c>
      <c r="B80" t="str">
        <f t="shared" si="1"/>
        <v>DIS-079</v>
      </c>
      <c r="C80" t="str">
        <f>_xlfn.XLOOKUP($G80,'03_Component'!$C:$C,'03_Component'!$B:$B)</f>
        <v>COMP-063</v>
      </c>
      <c r="D80" t="str">
        <f>_xlfn.XLOOKUP($H80,'03_Component'!$C:$C,'03_Component'!$B:$B)</f>
        <v>COMP-133</v>
      </c>
      <c r="E80">
        <v>8</v>
      </c>
      <c r="G80" t="s">
        <v>163</v>
      </c>
      <c r="H80" t="s">
        <v>28</v>
      </c>
    </row>
    <row r="81" spans="1:8">
      <c r="A81" s="1" t="s">
        <v>274</v>
      </c>
      <c r="B81" t="str">
        <f t="shared" si="1"/>
        <v>DIS-080</v>
      </c>
      <c r="C81" t="str">
        <f>_xlfn.XLOOKUP($G81,'03_Component'!$C:$C,'03_Component'!$B:$B)</f>
        <v>COMP-063</v>
      </c>
      <c r="D81" t="str">
        <f>_xlfn.XLOOKUP($H81,'03_Component'!$C:$C,'03_Component'!$B:$B)</f>
        <v>COMP-065</v>
      </c>
      <c r="E81">
        <v>4</v>
      </c>
      <c r="G81" t="s">
        <v>163</v>
      </c>
      <c r="H81" t="s">
        <v>25</v>
      </c>
    </row>
    <row r="82" spans="1:8">
      <c r="A82" s="1" t="s">
        <v>275</v>
      </c>
      <c r="B82" t="str">
        <f t="shared" si="1"/>
        <v>DIS-081</v>
      </c>
      <c r="C82" t="str">
        <f>_xlfn.XLOOKUP($G82,'03_Component'!$C:$C,'03_Component'!$B:$B)</f>
        <v>COMP-064</v>
      </c>
      <c r="D82" t="str">
        <f>_xlfn.XLOOKUP($H82,'03_Component'!$C:$C,'03_Component'!$B:$B)</f>
        <v>COMP-042</v>
      </c>
      <c r="E82">
        <v>2</v>
      </c>
      <c r="G82" t="s">
        <v>42</v>
      </c>
      <c r="H82" t="s">
        <v>14</v>
      </c>
    </row>
    <row r="83" spans="1:8">
      <c r="A83" s="1" t="s">
        <v>276</v>
      </c>
      <c r="B83" t="str">
        <f t="shared" si="1"/>
        <v>DIS-082</v>
      </c>
      <c r="C83" t="str">
        <f>_xlfn.XLOOKUP($G83,'03_Component'!$C:$C,'03_Component'!$B:$B)</f>
        <v>COMP-065</v>
      </c>
      <c r="D83">
        <f>_xlfn.XLOOKUP($H83,'03_Component'!$C:$C,'03_Component'!$B:$B)</f>
        <v>0</v>
      </c>
      <c r="E83">
        <v>0</v>
      </c>
      <c r="G83" t="s">
        <v>25</v>
      </c>
    </row>
    <row r="84" spans="1:8">
      <c r="A84" s="1" t="s">
        <v>277</v>
      </c>
      <c r="B84" t="str">
        <f t="shared" si="1"/>
        <v>DIS-083</v>
      </c>
      <c r="C84" t="str">
        <f>_xlfn.XLOOKUP($G84,'03_Component'!$C:$C,'03_Component'!$B:$B)</f>
        <v>COMP-066</v>
      </c>
      <c r="D84">
        <f>_xlfn.XLOOKUP($H84,'03_Component'!$C:$C,'03_Component'!$B:$B)</f>
        <v>0</v>
      </c>
      <c r="E84">
        <v>0</v>
      </c>
      <c r="G84" t="s">
        <v>164</v>
      </c>
    </row>
    <row r="85" spans="1:8">
      <c r="A85" s="1" t="s">
        <v>278</v>
      </c>
      <c r="B85" t="str">
        <f t="shared" si="1"/>
        <v>DIS-084</v>
      </c>
      <c r="C85" t="str">
        <f>_xlfn.XLOOKUP($G85,'03_Component'!$C:$C,'03_Component'!$B:$B)</f>
        <v>COMP-067</v>
      </c>
      <c r="D85" t="str">
        <f>_xlfn.XLOOKUP($H85,'03_Component'!$C:$C,'03_Component'!$B:$B)</f>
        <v>COMP-018</v>
      </c>
      <c r="E85">
        <v>2</v>
      </c>
      <c r="G85" t="s">
        <v>165</v>
      </c>
      <c r="H85" t="s">
        <v>29</v>
      </c>
    </row>
    <row r="86" spans="1:8">
      <c r="A86" s="1" t="s">
        <v>279</v>
      </c>
      <c r="B86" t="str">
        <f t="shared" si="1"/>
        <v>DIS-085</v>
      </c>
      <c r="C86" t="str">
        <f>_xlfn.XLOOKUP($G86,'03_Component'!$C:$C,'03_Component'!$B:$B)</f>
        <v>COMP-068</v>
      </c>
      <c r="D86">
        <f>_xlfn.XLOOKUP($H86,'03_Component'!$C:$C,'03_Component'!$B:$B)</f>
        <v>0</v>
      </c>
      <c r="E86">
        <v>0</v>
      </c>
      <c r="G86" t="s">
        <v>166</v>
      </c>
    </row>
    <row r="87" spans="1:8">
      <c r="A87" s="1" t="s">
        <v>280</v>
      </c>
      <c r="B87" t="str">
        <f t="shared" si="1"/>
        <v>DIS-086</v>
      </c>
      <c r="C87" t="str">
        <f>_xlfn.XLOOKUP($G87,'03_Component'!$C:$C,'03_Component'!$B:$B)</f>
        <v>COMP-069</v>
      </c>
      <c r="D87">
        <f>_xlfn.XLOOKUP($H87,'03_Component'!$C:$C,'03_Component'!$B:$B)</f>
        <v>0</v>
      </c>
      <c r="E87">
        <v>0</v>
      </c>
      <c r="G87" t="s">
        <v>167</v>
      </c>
    </row>
    <row r="88" spans="1:8">
      <c r="A88" s="1" t="s">
        <v>281</v>
      </c>
      <c r="B88" t="str">
        <f t="shared" si="1"/>
        <v>DIS-087</v>
      </c>
      <c r="C88" t="str">
        <f>_xlfn.XLOOKUP($G88,'03_Component'!$C:$C,'03_Component'!$B:$B)</f>
        <v>COMP-070</v>
      </c>
      <c r="D88" t="str">
        <f>_xlfn.XLOOKUP($H88,'03_Component'!$C:$C,'03_Component'!$B:$B)</f>
        <v>COMP-009</v>
      </c>
      <c r="E88">
        <v>1</v>
      </c>
      <c r="G88" t="s">
        <v>3</v>
      </c>
      <c r="H88" t="s">
        <v>36</v>
      </c>
    </row>
    <row r="89" spans="1:8">
      <c r="A89" s="1" t="s">
        <v>282</v>
      </c>
      <c r="B89" t="str">
        <f t="shared" si="1"/>
        <v>DIS-088</v>
      </c>
      <c r="C89" t="str">
        <f>_xlfn.XLOOKUP($G89,'03_Component'!$C:$C,'03_Component'!$B:$B)</f>
        <v>COMP-070</v>
      </c>
      <c r="D89" t="str">
        <f>_xlfn.XLOOKUP($H89,'03_Component'!$C:$C,'03_Component'!$B:$B)</f>
        <v>COMP-035</v>
      </c>
      <c r="E89">
        <v>1</v>
      </c>
      <c r="G89" t="s">
        <v>3</v>
      </c>
      <c r="H89" t="s">
        <v>27</v>
      </c>
    </row>
    <row r="90" spans="1:8">
      <c r="A90" s="1" t="s">
        <v>283</v>
      </c>
      <c r="B90" t="str">
        <f t="shared" si="1"/>
        <v>DIS-089</v>
      </c>
      <c r="C90" t="str">
        <f>_xlfn.XLOOKUP($G90,'03_Component'!$C:$C,'03_Component'!$B:$B)</f>
        <v>COMP-071</v>
      </c>
      <c r="D90" t="str">
        <f>_xlfn.XLOOKUP($H90,'03_Component'!$C:$C,'03_Component'!$B:$B)</f>
        <v>COMP-107</v>
      </c>
      <c r="E90">
        <v>5</v>
      </c>
      <c r="G90" t="s">
        <v>45</v>
      </c>
      <c r="H90" t="s">
        <v>26</v>
      </c>
    </row>
    <row r="91" spans="1:8">
      <c r="A91" s="1" t="s">
        <v>284</v>
      </c>
      <c r="B91" t="str">
        <f t="shared" si="1"/>
        <v>DIS-090</v>
      </c>
      <c r="C91" t="str">
        <f>_xlfn.XLOOKUP($G91,'03_Component'!$C:$C,'03_Component'!$B:$B)</f>
        <v>COMP-071</v>
      </c>
      <c r="D91" t="str">
        <f>_xlfn.XLOOKUP($H91,'03_Component'!$C:$C,'03_Component'!$B:$B)</f>
        <v>COMP-059</v>
      </c>
      <c r="E91">
        <v>1</v>
      </c>
      <c r="G91" t="s">
        <v>45</v>
      </c>
      <c r="H91" t="s">
        <v>11</v>
      </c>
    </row>
    <row r="92" spans="1:8">
      <c r="A92" s="1" t="s">
        <v>285</v>
      </c>
      <c r="B92" t="str">
        <f t="shared" si="1"/>
        <v>DIS-091</v>
      </c>
      <c r="C92" t="str">
        <f>_xlfn.XLOOKUP($G92,'03_Component'!$C:$C,'03_Component'!$B:$B)</f>
        <v>COMP-072</v>
      </c>
      <c r="D92" t="str">
        <f>_xlfn.XLOOKUP($H92,'03_Component'!$C:$C,'03_Component'!$B:$B)</f>
        <v>COMP-096</v>
      </c>
      <c r="E92">
        <v>8</v>
      </c>
      <c r="G92" t="s">
        <v>168</v>
      </c>
      <c r="H92" t="s">
        <v>24</v>
      </c>
    </row>
    <row r="93" spans="1:8">
      <c r="A93" s="1" t="s">
        <v>286</v>
      </c>
      <c r="B93" t="str">
        <f t="shared" si="1"/>
        <v>DIS-092</v>
      </c>
      <c r="C93" t="str">
        <f>_xlfn.XLOOKUP($G93,'03_Component'!$C:$C,'03_Component'!$B:$B)</f>
        <v>COMP-073</v>
      </c>
      <c r="D93" t="str">
        <f>_xlfn.XLOOKUP($H93,'03_Component'!$C:$C,'03_Component'!$B:$B)</f>
        <v>COMP-096</v>
      </c>
      <c r="E93">
        <v>14</v>
      </c>
      <c r="G93" t="s">
        <v>169</v>
      </c>
      <c r="H93" t="s">
        <v>24</v>
      </c>
    </row>
    <row r="94" spans="1:8">
      <c r="A94" s="1" t="s">
        <v>287</v>
      </c>
      <c r="B94" t="str">
        <f t="shared" si="1"/>
        <v>DIS-093</v>
      </c>
      <c r="C94" t="str">
        <f>_xlfn.XLOOKUP($G94,'03_Component'!$C:$C,'03_Component'!$B:$B)</f>
        <v>COMP-074</v>
      </c>
      <c r="D94" t="str">
        <f>_xlfn.XLOOKUP($H94,'03_Component'!$C:$C,'03_Component'!$B:$B)</f>
        <v>COMP-018</v>
      </c>
      <c r="E94">
        <v>4</v>
      </c>
      <c r="G94" t="s">
        <v>170</v>
      </c>
      <c r="H94" t="s">
        <v>29</v>
      </c>
    </row>
    <row r="95" spans="1:8">
      <c r="A95" s="1" t="s">
        <v>288</v>
      </c>
      <c r="B95" t="str">
        <f t="shared" si="1"/>
        <v>DIS-094</v>
      </c>
      <c r="C95" t="str">
        <f>_xlfn.XLOOKUP($G95,'03_Component'!$C:$C,'03_Component'!$B:$B)</f>
        <v>COMP-075</v>
      </c>
      <c r="D95" t="str">
        <f>_xlfn.XLOOKUP($H95,'03_Component'!$C:$C,'03_Component'!$B:$B)</f>
        <v>COMP-133</v>
      </c>
      <c r="E95">
        <v>6</v>
      </c>
      <c r="G95" t="s">
        <v>171</v>
      </c>
      <c r="H95" t="s">
        <v>28</v>
      </c>
    </row>
    <row r="96" spans="1:8">
      <c r="A96" s="1" t="s">
        <v>289</v>
      </c>
      <c r="B96" t="str">
        <f t="shared" si="1"/>
        <v>DIS-095</v>
      </c>
      <c r="C96" t="str">
        <f>_xlfn.XLOOKUP($G96,'03_Component'!$C:$C,'03_Component'!$B:$B)</f>
        <v>COMP-075</v>
      </c>
      <c r="D96" t="str">
        <f>_xlfn.XLOOKUP($H96,'03_Component'!$C:$C,'03_Component'!$B:$B)</f>
        <v>COMP-151</v>
      </c>
      <c r="E96">
        <v>2</v>
      </c>
      <c r="G96" t="s">
        <v>171</v>
      </c>
      <c r="H96" t="s">
        <v>226</v>
      </c>
    </row>
    <row r="97" spans="1:8">
      <c r="A97" s="1" t="s">
        <v>290</v>
      </c>
      <c r="B97" t="str">
        <f t="shared" si="1"/>
        <v>DIS-096</v>
      </c>
      <c r="C97" t="str">
        <f>_xlfn.XLOOKUP($G97,'03_Component'!$C:$C,'03_Component'!$B:$B)</f>
        <v>COMP-076</v>
      </c>
      <c r="D97" t="str">
        <f>_xlfn.XLOOKUP($H97,'03_Component'!$C:$C,'03_Component'!$B:$B)</f>
        <v>COMP-149</v>
      </c>
      <c r="E97">
        <v>2</v>
      </c>
      <c r="G97" t="s">
        <v>172</v>
      </c>
      <c r="H97" t="s">
        <v>225</v>
      </c>
    </row>
    <row r="98" spans="1:8">
      <c r="A98" s="1" t="s">
        <v>291</v>
      </c>
      <c r="B98" t="str">
        <f t="shared" si="1"/>
        <v>DIS-097</v>
      </c>
      <c r="C98" t="str">
        <f>_xlfn.XLOOKUP($G98,'03_Component'!$C:$C,'03_Component'!$B:$B)</f>
        <v>COMP-077</v>
      </c>
      <c r="D98" t="str">
        <f>_xlfn.XLOOKUP($H98,'03_Component'!$C:$C,'03_Component'!$B:$B)</f>
        <v>COMP-009</v>
      </c>
      <c r="E98">
        <v>2</v>
      </c>
      <c r="G98" t="s">
        <v>12</v>
      </c>
      <c r="H98" t="s">
        <v>36</v>
      </c>
    </row>
    <row r="99" spans="1:8">
      <c r="A99" s="1" t="s">
        <v>292</v>
      </c>
      <c r="B99" t="str">
        <f t="shared" si="1"/>
        <v>DIS-098</v>
      </c>
      <c r="C99" t="str">
        <f>_xlfn.XLOOKUP($G99,'03_Component'!$C:$C,'03_Component'!$B:$B)</f>
        <v>COMP-077</v>
      </c>
      <c r="D99" t="str">
        <f>_xlfn.XLOOKUP($H99,'03_Component'!$C:$C,'03_Component'!$B:$B)</f>
        <v>COMP-059</v>
      </c>
      <c r="E99">
        <v>2</v>
      </c>
      <c r="G99" t="s">
        <v>12</v>
      </c>
      <c r="H99" t="s">
        <v>11</v>
      </c>
    </row>
    <row r="100" spans="1:8">
      <c r="A100" s="1" t="s">
        <v>293</v>
      </c>
      <c r="B100" t="str">
        <f t="shared" si="1"/>
        <v>DIS-099</v>
      </c>
      <c r="C100" t="str">
        <f>_xlfn.XLOOKUP($G100,'03_Component'!$C:$C,'03_Component'!$B:$B)</f>
        <v>COMP-078</v>
      </c>
      <c r="D100" t="str">
        <f>_xlfn.XLOOKUP($H100,'03_Component'!$C:$C,'03_Component'!$B:$B)</f>
        <v>COMP-035</v>
      </c>
      <c r="E100">
        <v>13</v>
      </c>
      <c r="G100" t="s">
        <v>173</v>
      </c>
      <c r="H100" t="s">
        <v>27</v>
      </c>
    </row>
    <row r="101" spans="1:8">
      <c r="A101" s="1" t="s">
        <v>294</v>
      </c>
      <c r="B101" t="str">
        <f t="shared" si="1"/>
        <v>DIS-100</v>
      </c>
      <c r="C101" t="str">
        <f>_xlfn.XLOOKUP($G101,'03_Component'!$C:$C,'03_Component'!$B:$B)</f>
        <v>COMP-079</v>
      </c>
      <c r="D101" t="str">
        <f>_xlfn.XLOOKUP($H101,'03_Component'!$C:$C,'03_Component'!$B:$B)</f>
        <v>COMP-033</v>
      </c>
      <c r="E101">
        <v>3</v>
      </c>
      <c r="G101" t="s">
        <v>174</v>
      </c>
      <c r="H101" t="s">
        <v>141</v>
      </c>
    </row>
    <row r="102" spans="1:8">
      <c r="A102" s="1" t="s">
        <v>295</v>
      </c>
      <c r="B102" t="str">
        <f t="shared" si="1"/>
        <v>DIS-101</v>
      </c>
      <c r="C102" t="str">
        <f>_xlfn.XLOOKUP($G102,'03_Component'!$C:$C,'03_Component'!$B:$B)</f>
        <v>COMP-079</v>
      </c>
      <c r="D102" t="str">
        <f>_xlfn.XLOOKUP($H102,'03_Component'!$C:$C,'03_Component'!$B:$B)</f>
        <v>COMP-175</v>
      </c>
      <c r="E102">
        <v>2</v>
      </c>
      <c r="G102" t="s">
        <v>174</v>
      </c>
      <c r="H102" t="s">
        <v>244</v>
      </c>
    </row>
    <row r="103" spans="1:8">
      <c r="A103" s="1" t="s">
        <v>296</v>
      </c>
      <c r="B103" t="str">
        <f t="shared" si="1"/>
        <v>DIS-102</v>
      </c>
      <c r="C103" t="str">
        <f>_xlfn.XLOOKUP($G103,'03_Component'!$C:$C,'03_Component'!$B:$B)</f>
        <v>COMP-080</v>
      </c>
      <c r="D103" t="str">
        <f>_xlfn.XLOOKUP($H103,'03_Component'!$C:$C,'03_Component'!$B:$B)</f>
        <v>COMP-096</v>
      </c>
      <c r="E103">
        <v>7</v>
      </c>
      <c r="G103" t="s">
        <v>175</v>
      </c>
      <c r="H103" t="s">
        <v>24</v>
      </c>
    </row>
    <row r="104" spans="1:8">
      <c r="A104" s="1" t="s">
        <v>297</v>
      </c>
      <c r="B104" t="str">
        <f t="shared" si="1"/>
        <v>DIS-103</v>
      </c>
      <c r="C104" t="str">
        <f>_xlfn.XLOOKUP($G104,'03_Component'!$C:$C,'03_Component'!$B:$B)</f>
        <v>COMP-081</v>
      </c>
      <c r="D104" t="str">
        <f>_xlfn.XLOOKUP($H104,'03_Component'!$C:$C,'03_Component'!$B:$B)</f>
        <v>COMP-035</v>
      </c>
      <c r="E104">
        <v>13</v>
      </c>
      <c r="G104" t="s">
        <v>176</v>
      </c>
      <c r="H104" t="s">
        <v>27</v>
      </c>
    </row>
    <row r="105" spans="1:8">
      <c r="A105" s="1" t="s">
        <v>298</v>
      </c>
      <c r="B105" t="str">
        <f t="shared" si="1"/>
        <v>DIS-104</v>
      </c>
      <c r="C105" t="str">
        <f>_xlfn.XLOOKUP($G105,'03_Component'!$C:$C,'03_Component'!$B:$B)</f>
        <v>COMP-082</v>
      </c>
      <c r="D105" t="str">
        <f>_xlfn.XLOOKUP($H105,'03_Component'!$C:$C,'03_Component'!$B:$B)</f>
        <v>COMP-035</v>
      </c>
      <c r="E105">
        <v>7</v>
      </c>
      <c r="G105" t="s">
        <v>32</v>
      </c>
      <c r="H105" t="s">
        <v>27</v>
      </c>
    </row>
    <row r="106" spans="1:8">
      <c r="A106" s="1" t="s">
        <v>299</v>
      </c>
      <c r="B106" t="str">
        <f t="shared" si="1"/>
        <v>DIS-105</v>
      </c>
      <c r="C106" t="str">
        <f>_xlfn.XLOOKUP($G106,'03_Component'!$C:$C,'03_Component'!$B:$B)</f>
        <v>COMP-082</v>
      </c>
      <c r="D106" t="str">
        <f>_xlfn.XLOOKUP($H106,'03_Component'!$C:$C,'03_Component'!$B:$B)</f>
        <v>COMP-020</v>
      </c>
      <c r="E106">
        <v>2</v>
      </c>
      <c r="G106" t="s">
        <v>32</v>
      </c>
      <c r="H106" t="s">
        <v>129</v>
      </c>
    </row>
    <row r="107" spans="1:8">
      <c r="A107" s="1" t="s">
        <v>300</v>
      </c>
      <c r="B107" t="str">
        <f t="shared" si="1"/>
        <v>DIS-106</v>
      </c>
      <c r="C107" t="str">
        <f>_xlfn.XLOOKUP($G107,'03_Component'!$C:$C,'03_Component'!$B:$B)</f>
        <v>COMP-083</v>
      </c>
      <c r="D107" t="str">
        <f>_xlfn.XLOOKUP($H107,'03_Component'!$C:$C,'03_Component'!$B:$B)</f>
        <v>COMP-096</v>
      </c>
      <c r="E107">
        <v>5</v>
      </c>
      <c r="G107" t="s">
        <v>177</v>
      </c>
      <c r="H107" t="s">
        <v>24</v>
      </c>
    </row>
    <row r="108" spans="1:8">
      <c r="A108" s="1" t="s">
        <v>301</v>
      </c>
      <c r="B108" t="str">
        <f t="shared" si="1"/>
        <v>DIS-107</v>
      </c>
      <c r="C108" t="str">
        <f>_xlfn.XLOOKUP($G108,'03_Component'!$C:$C,'03_Component'!$B:$B)</f>
        <v>COMP-083</v>
      </c>
      <c r="D108" t="str">
        <f>_xlfn.XLOOKUP($H108,'03_Component'!$C:$C,'03_Component'!$B:$B)</f>
        <v>COMP-171</v>
      </c>
      <c r="E108">
        <v>1</v>
      </c>
      <c r="G108" t="s">
        <v>177</v>
      </c>
      <c r="H108" t="s">
        <v>241</v>
      </c>
    </row>
    <row r="109" spans="1:8">
      <c r="A109" s="1" t="s">
        <v>302</v>
      </c>
      <c r="B109" t="str">
        <f t="shared" si="1"/>
        <v>DIS-108</v>
      </c>
      <c r="C109" t="str">
        <f>_xlfn.XLOOKUP($G109,'03_Component'!$C:$C,'03_Component'!$B:$B)</f>
        <v>COMP-084</v>
      </c>
      <c r="D109" t="str">
        <f>_xlfn.XLOOKUP($H109,'03_Component'!$C:$C,'03_Component'!$B:$B)</f>
        <v>COMP-091</v>
      </c>
      <c r="E109">
        <v>2</v>
      </c>
      <c r="G109" t="s">
        <v>178</v>
      </c>
      <c r="H109" t="s">
        <v>182</v>
      </c>
    </row>
    <row r="110" spans="1:8">
      <c r="A110" s="1" t="s">
        <v>303</v>
      </c>
      <c r="B110" t="str">
        <f t="shared" si="1"/>
        <v>DIS-109</v>
      </c>
      <c r="C110" t="str">
        <f>_xlfn.XLOOKUP($G110,'03_Component'!$C:$C,'03_Component'!$B:$B)</f>
        <v>COMP-084</v>
      </c>
      <c r="D110" t="str">
        <f>_xlfn.XLOOKUP($H110,'03_Component'!$C:$C,'03_Component'!$B:$B)</f>
        <v>COMP-096</v>
      </c>
      <c r="E110">
        <v>4</v>
      </c>
      <c r="G110" t="s">
        <v>178</v>
      </c>
      <c r="H110" t="s">
        <v>24</v>
      </c>
    </row>
    <row r="111" spans="1:8">
      <c r="A111" s="1" t="s">
        <v>304</v>
      </c>
      <c r="B111" t="str">
        <f t="shared" si="1"/>
        <v>DIS-110</v>
      </c>
      <c r="C111" t="str">
        <f>_xlfn.XLOOKUP($G111,'03_Component'!$C:$C,'03_Component'!$B:$B)</f>
        <v>COMP-085</v>
      </c>
      <c r="D111" t="str">
        <f>_xlfn.XLOOKUP($H111,'03_Component'!$C:$C,'03_Component'!$B:$B)</f>
        <v>COMP-035</v>
      </c>
      <c r="E111">
        <v>2</v>
      </c>
      <c r="G111" t="s">
        <v>41</v>
      </c>
      <c r="H111" t="s">
        <v>27</v>
      </c>
    </row>
    <row r="112" spans="1:8">
      <c r="A112" s="1" t="s">
        <v>305</v>
      </c>
      <c r="B112" t="str">
        <f t="shared" si="1"/>
        <v>DIS-111</v>
      </c>
      <c r="C112" t="str">
        <f>_xlfn.XLOOKUP($G112,'03_Component'!$C:$C,'03_Component'!$B:$B)</f>
        <v>COMP-085</v>
      </c>
      <c r="D112" t="str">
        <f>_xlfn.XLOOKUP($H112,'03_Component'!$C:$C,'03_Component'!$B:$B)</f>
        <v>COMP-042</v>
      </c>
      <c r="E112">
        <v>2</v>
      </c>
      <c r="G112" t="s">
        <v>41</v>
      </c>
      <c r="H112" t="s">
        <v>14</v>
      </c>
    </row>
    <row r="113" spans="1:8">
      <c r="A113" s="1" t="s">
        <v>306</v>
      </c>
      <c r="B113" t="str">
        <f t="shared" si="1"/>
        <v>DIS-112</v>
      </c>
      <c r="C113" t="str">
        <f>_xlfn.XLOOKUP($G113,'03_Component'!$C:$C,'03_Component'!$B:$B)</f>
        <v>COMP-086</v>
      </c>
      <c r="D113">
        <f>_xlfn.XLOOKUP($H113,'03_Component'!$C:$C,'03_Component'!$B:$B)</f>
        <v>0</v>
      </c>
      <c r="E113">
        <v>0</v>
      </c>
      <c r="G113" t="s">
        <v>179</v>
      </c>
    </row>
    <row r="114" spans="1:8">
      <c r="A114" s="1" t="s">
        <v>307</v>
      </c>
      <c r="B114" t="str">
        <f t="shared" si="1"/>
        <v>DIS-113</v>
      </c>
      <c r="C114" t="str">
        <f>_xlfn.XLOOKUP($G114,'03_Component'!$C:$C,'03_Component'!$B:$B)</f>
        <v>COMP-088</v>
      </c>
      <c r="D114" t="str">
        <f>_xlfn.XLOOKUP($H114,'03_Component'!$C:$C,'03_Component'!$B:$B)</f>
        <v>COMP-003</v>
      </c>
      <c r="E114">
        <v>2</v>
      </c>
      <c r="G114" t="s">
        <v>46</v>
      </c>
      <c r="H114" t="s">
        <v>8</v>
      </c>
    </row>
    <row r="115" spans="1:8">
      <c r="A115" s="1" t="s">
        <v>308</v>
      </c>
      <c r="B115" t="str">
        <f t="shared" si="1"/>
        <v>DIS-114</v>
      </c>
      <c r="C115" t="str">
        <f>_xlfn.XLOOKUP($G115,'03_Component'!$C:$C,'03_Component'!$B:$B)</f>
        <v>COMP-088</v>
      </c>
      <c r="D115" t="str">
        <f>_xlfn.XLOOKUP($H115,'03_Component'!$C:$C,'03_Component'!$B:$B)</f>
        <v>COMP-009</v>
      </c>
      <c r="E115">
        <v>3</v>
      </c>
      <c r="G115" t="s">
        <v>46</v>
      </c>
      <c r="H115" t="s">
        <v>36</v>
      </c>
    </row>
    <row r="116" spans="1:8">
      <c r="A116" s="1" t="s">
        <v>309</v>
      </c>
      <c r="B116" t="str">
        <f t="shared" si="1"/>
        <v>DIS-115</v>
      </c>
      <c r="C116" t="str">
        <f>_xlfn.XLOOKUP($G116,'03_Component'!$C:$C,'03_Component'!$B:$B)</f>
        <v>COMP-087</v>
      </c>
      <c r="D116" t="str">
        <f>_xlfn.XLOOKUP($H116,'03_Component'!$C:$C,'03_Component'!$B:$B)</f>
        <v>COMP-018</v>
      </c>
      <c r="E116">
        <v>3</v>
      </c>
      <c r="G116" t="s">
        <v>54</v>
      </c>
      <c r="H116" t="s">
        <v>29</v>
      </c>
    </row>
    <row r="117" spans="1:8">
      <c r="A117" s="1" t="s">
        <v>310</v>
      </c>
      <c r="B117" t="str">
        <f t="shared" si="1"/>
        <v>DIS-116</v>
      </c>
      <c r="C117" t="str">
        <f>_xlfn.XLOOKUP($G117,'03_Component'!$C:$C,'03_Component'!$B:$B)</f>
        <v>COMP-089</v>
      </c>
      <c r="D117">
        <f>_xlfn.XLOOKUP($H117,'03_Component'!$C:$C,'03_Component'!$B:$B)</f>
        <v>0</v>
      </c>
      <c r="E117">
        <v>0</v>
      </c>
      <c r="G117" t="s">
        <v>180</v>
      </c>
    </row>
    <row r="118" spans="1:8">
      <c r="A118" s="1" t="s">
        <v>311</v>
      </c>
      <c r="B118" t="str">
        <f t="shared" si="1"/>
        <v>DIS-117</v>
      </c>
      <c r="C118" t="str">
        <f>_xlfn.XLOOKUP($G118,'03_Component'!$C:$C,'03_Component'!$B:$B)</f>
        <v>COMP-090</v>
      </c>
      <c r="D118" t="str">
        <f>_xlfn.XLOOKUP($H118,'03_Component'!$C:$C,'03_Component'!$B:$B)</f>
        <v>COMP-149</v>
      </c>
      <c r="E118">
        <v>2</v>
      </c>
      <c r="G118" t="s">
        <v>181</v>
      </c>
      <c r="H118" t="s">
        <v>225</v>
      </c>
    </row>
    <row r="119" spans="1:8">
      <c r="A119" s="1" t="s">
        <v>312</v>
      </c>
      <c r="B119" t="str">
        <f t="shared" si="1"/>
        <v>DIS-118</v>
      </c>
      <c r="C119" t="str">
        <f>_xlfn.XLOOKUP($G119,'03_Component'!$C:$C,'03_Component'!$B:$B)</f>
        <v>COMP-091</v>
      </c>
      <c r="D119" t="str">
        <f>_xlfn.XLOOKUP($H119,'03_Component'!$C:$C,'03_Component'!$B:$B)</f>
        <v>COMP-096</v>
      </c>
      <c r="E119">
        <v>3</v>
      </c>
      <c r="G119" t="s">
        <v>182</v>
      </c>
      <c r="H119" t="s">
        <v>24</v>
      </c>
    </row>
    <row r="120" spans="1:8">
      <c r="A120" s="1" t="s">
        <v>313</v>
      </c>
      <c r="B120" t="str">
        <f t="shared" si="1"/>
        <v>DIS-119</v>
      </c>
      <c r="C120" t="str">
        <f>_xlfn.XLOOKUP($G120,'03_Component'!$C:$C,'03_Component'!$B:$B)</f>
        <v>COMP-092</v>
      </c>
      <c r="D120" t="str">
        <f>_xlfn.XLOOKUP($H120,'03_Component'!$C:$C,'03_Component'!$B:$B)</f>
        <v>COMP-003</v>
      </c>
      <c r="E120">
        <v>1</v>
      </c>
      <c r="G120" t="s">
        <v>183</v>
      </c>
      <c r="H120" t="s">
        <v>8</v>
      </c>
    </row>
    <row r="121" spans="1:8">
      <c r="A121" s="1" t="s">
        <v>314</v>
      </c>
      <c r="B121" t="str">
        <f t="shared" si="1"/>
        <v>DIS-120</v>
      </c>
      <c r="C121" t="str">
        <f>_xlfn.XLOOKUP($G121,'03_Component'!$C:$C,'03_Component'!$B:$B)</f>
        <v>COMP-092</v>
      </c>
      <c r="D121" t="str">
        <f>_xlfn.XLOOKUP($H121,'03_Component'!$C:$C,'03_Component'!$B:$B)</f>
        <v>COMP-013</v>
      </c>
      <c r="E121">
        <v>1</v>
      </c>
      <c r="G121" t="s">
        <v>183</v>
      </c>
      <c r="H121" t="s">
        <v>1</v>
      </c>
    </row>
    <row r="122" spans="1:8">
      <c r="A122" s="1" t="s">
        <v>315</v>
      </c>
      <c r="B122" t="str">
        <f t="shared" si="1"/>
        <v>DIS-121</v>
      </c>
      <c r="C122" t="str">
        <f>_xlfn.XLOOKUP($G122,'03_Component'!$C:$C,'03_Component'!$B:$B)</f>
        <v>COMP-093</v>
      </c>
      <c r="D122" t="str">
        <f>_xlfn.XLOOKUP($H122,'03_Component'!$C:$C,'03_Component'!$B:$B)</f>
        <v>COMP-096</v>
      </c>
      <c r="E122">
        <v>8</v>
      </c>
      <c r="G122" t="s">
        <v>5</v>
      </c>
      <c r="H122" t="s">
        <v>24</v>
      </c>
    </row>
    <row r="123" spans="1:8">
      <c r="A123" s="1" t="s">
        <v>316</v>
      </c>
      <c r="B123" t="str">
        <f t="shared" si="1"/>
        <v>DIS-122</v>
      </c>
      <c r="C123" t="str">
        <f>_xlfn.XLOOKUP($G123,'03_Component'!$C:$C,'03_Component'!$B:$B)</f>
        <v>COMP-093</v>
      </c>
      <c r="D123" t="str">
        <f>_xlfn.XLOOKUP($H123,'03_Component'!$C:$C,'03_Component'!$B:$B)</f>
        <v>COMP-155</v>
      </c>
      <c r="E123">
        <v>2</v>
      </c>
      <c r="G123" t="s">
        <v>5</v>
      </c>
      <c r="H123" t="s">
        <v>230</v>
      </c>
    </row>
    <row r="124" spans="1:8">
      <c r="A124" s="1" t="s">
        <v>317</v>
      </c>
      <c r="B124" t="str">
        <f t="shared" si="1"/>
        <v>DIS-123</v>
      </c>
      <c r="C124" t="str">
        <f>_xlfn.XLOOKUP($G124,'03_Component'!$C:$C,'03_Component'!$B:$B)</f>
        <v>COMP-094</v>
      </c>
      <c r="D124" t="str">
        <f>_xlfn.XLOOKUP($H124,'03_Component'!$C:$C,'03_Component'!$B:$B)</f>
        <v>COMP-149</v>
      </c>
      <c r="E124">
        <v>2</v>
      </c>
      <c r="G124" t="s">
        <v>184</v>
      </c>
      <c r="H124" t="s">
        <v>225</v>
      </c>
    </row>
    <row r="125" spans="1:8">
      <c r="A125" s="1" t="s">
        <v>318</v>
      </c>
      <c r="B125" t="str">
        <f t="shared" si="1"/>
        <v>DIS-124</v>
      </c>
      <c r="C125" t="str">
        <f>_xlfn.XLOOKUP($G125,'03_Component'!$C:$C,'03_Component'!$B:$B)</f>
        <v>COMP-095</v>
      </c>
      <c r="D125" t="str">
        <f>_xlfn.XLOOKUP($H125,'03_Component'!$C:$C,'03_Component'!$B:$B)</f>
        <v>COMP-096</v>
      </c>
      <c r="E125">
        <v>8</v>
      </c>
      <c r="G125" t="s">
        <v>185</v>
      </c>
      <c r="H125" t="s">
        <v>24</v>
      </c>
    </row>
    <row r="126" spans="1:8">
      <c r="A126" s="1" t="s">
        <v>319</v>
      </c>
      <c r="B126" t="str">
        <f t="shared" si="1"/>
        <v>DIS-125</v>
      </c>
      <c r="C126" t="str">
        <f>_xlfn.XLOOKUP($G126,'03_Component'!$C:$C,'03_Component'!$B:$B)</f>
        <v>COMP-096</v>
      </c>
      <c r="D126">
        <f>_xlfn.XLOOKUP($H126,'03_Component'!$C:$C,'03_Component'!$B:$B)</f>
        <v>0</v>
      </c>
      <c r="E126">
        <v>0</v>
      </c>
      <c r="G126" t="s">
        <v>24</v>
      </c>
    </row>
    <row r="127" spans="1:8">
      <c r="A127" s="1" t="s">
        <v>320</v>
      </c>
      <c r="B127" t="str">
        <f t="shared" si="1"/>
        <v>DIS-126</v>
      </c>
      <c r="C127" t="str">
        <f>_xlfn.XLOOKUP($G127,'03_Component'!$C:$C,'03_Component'!$B:$B)</f>
        <v>COMP-097</v>
      </c>
      <c r="D127" t="str">
        <f>_xlfn.XLOOKUP($H127,'03_Component'!$C:$C,'03_Component'!$B:$B)</f>
        <v>COMP-155</v>
      </c>
      <c r="E127">
        <v>4</v>
      </c>
      <c r="G127" t="s">
        <v>186</v>
      </c>
      <c r="H127" t="s">
        <v>230</v>
      </c>
    </row>
    <row r="128" spans="1:8">
      <c r="A128" s="1" t="s">
        <v>321</v>
      </c>
      <c r="B128" t="str">
        <f t="shared" si="1"/>
        <v>DIS-127</v>
      </c>
      <c r="C128" t="str">
        <f>_xlfn.XLOOKUP($G128,'03_Component'!$C:$C,'03_Component'!$B:$B)</f>
        <v>COMP-097</v>
      </c>
      <c r="D128" t="str">
        <f>_xlfn.XLOOKUP($H128,'03_Component'!$C:$C,'03_Component'!$B:$B)</f>
        <v>COMP-009</v>
      </c>
      <c r="E128">
        <v>3</v>
      </c>
      <c r="G128" t="s">
        <v>186</v>
      </c>
      <c r="H128" t="s">
        <v>36</v>
      </c>
    </row>
    <row r="129" spans="1:8">
      <c r="A129" s="1" t="s">
        <v>322</v>
      </c>
      <c r="B129" t="str">
        <f t="shared" si="1"/>
        <v>DIS-128</v>
      </c>
      <c r="C129" t="str">
        <f>_xlfn.XLOOKUP($G129,'03_Component'!$C:$C,'03_Component'!$B:$B)</f>
        <v>COMP-098</v>
      </c>
      <c r="D129" t="str">
        <f>_xlfn.XLOOKUP($H129,'03_Component'!$C:$C,'03_Component'!$B:$B)</f>
        <v>COMP-035</v>
      </c>
      <c r="E129">
        <v>5</v>
      </c>
      <c r="G129" t="s">
        <v>187</v>
      </c>
      <c r="H129" t="s">
        <v>27</v>
      </c>
    </row>
    <row r="130" spans="1:8">
      <c r="A130" s="1" t="s">
        <v>323</v>
      </c>
      <c r="B130" t="str">
        <f t="shared" ref="B130:B193" si="2">_xlfn.CONCAT("DIS-",A130)</f>
        <v>DIS-129</v>
      </c>
      <c r="C130" t="str">
        <f>_xlfn.XLOOKUP($G130,'03_Component'!$C:$C,'03_Component'!$B:$B)</f>
        <v>COMP-099</v>
      </c>
      <c r="D130" t="str">
        <f>_xlfn.XLOOKUP($H130,'03_Component'!$C:$C,'03_Component'!$B:$B)</f>
        <v>COMP-104</v>
      </c>
      <c r="E130">
        <v>2</v>
      </c>
      <c r="G130" t="s">
        <v>49</v>
      </c>
      <c r="H130" t="s">
        <v>191</v>
      </c>
    </row>
    <row r="131" spans="1:8">
      <c r="A131" s="1" t="s">
        <v>324</v>
      </c>
      <c r="B131" t="str">
        <f t="shared" si="2"/>
        <v>DIS-130</v>
      </c>
      <c r="C131" t="str">
        <f>_xlfn.XLOOKUP($G131,'03_Component'!$C:$C,'03_Component'!$B:$B)</f>
        <v>COMP-099</v>
      </c>
      <c r="D131" t="str">
        <f>_xlfn.XLOOKUP($H131,'03_Component'!$C:$C,'03_Component'!$B:$B)</f>
        <v>COMP-093</v>
      </c>
      <c r="E131">
        <v>2</v>
      </c>
      <c r="G131" t="s">
        <v>49</v>
      </c>
      <c r="H131" t="s">
        <v>5</v>
      </c>
    </row>
    <row r="132" spans="1:8">
      <c r="A132" s="1" t="s">
        <v>325</v>
      </c>
      <c r="B132" t="str">
        <f t="shared" si="2"/>
        <v>DIS-131</v>
      </c>
      <c r="C132" t="str">
        <f>_xlfn.XLOOKUP($G132,'03_Component'!$C:$C,'03_Component'!$B:$B)</f>
        <v>COMP-100</v>
      </c>
      <c r="D132">
        <f>_xlfn.XLOOKUP($H132,'03_Component'!$C:$C,'03_Component'!$B:$B)</f>
        <v>0</v>
      </c>
      <c r="E132">
        <v>0</v>
      </c>
      <c r="G132" t="s">
        <v>59</v>
      </c>
    </row>
    <row r="133" spans="1:8">
      <c r="A133" s="1" t="s">
        <v>326</v>
      </c>
      <c r="B133" t="str">
        <f t="shared" si="2"/>
        <v>DIS-132</v>
      </c>
      <c r="C133" t="str">
        <f>_xlfn.XLOOKUP($G133,'03_Component'!$C:$C,'03_Component'!$B:$B)</f>
        <v>COMP-101</v>
      </c>
      <c r="D133">
        <f>_xlfn.XLOOKUP($H133,'03_Component'!$C:$C,'03_Component'!$B:$B)</f>
        <v>0</v>
      </c>
      <c r="E133">
        <v>0</v>
      </c>
      <c r="G133" t="s">
        <v>188</v>
      </c>
    </row>
    <row r="134" spans="1:8">
      <c r="A134" s="1" t="s">
        <v>327</v>
      </c>
      <c r="B134" t="str">
        <f t="shared" si="2"/>
        <v>DIS-133</v>
      </c>
      <c r="C134" t="str">
        <f>_xlfn.XLOOKUP($G134,'03_Component'!$C:$C,'03_Component'!$B:$B)</f>
        <v>COMP-102</v>
      </c>
      <c r="D134">
        <f>_xlfn.XLOOKUP($H134,'03_Component'!$C:$C,'03_Component'!$B:$B)</f>
        <v>0</v>
      </c>
      <c r="E134">
        <v>0</v>
      </c>
      <c r="G134" t="s">
        <v>189</v>
      </c>
    </row>
    <row r="135" spans="1:8">
      <c r="A135" s="1" t="s">
        <v>328</v>
      </c>
      <c r="B135" t="str">
        <f t="shared" si="2"/>
        <v>DIS-134</v>
      </c>
      <c r="C135" t="str">
        <f>_xlfn.XLOOKUP($G135,'03_Component'!$C:$C,'03_Component'!$B:$B)</f>
        <v>COMP-103</v>
      </c>
      <c r="D135" t="str">
        <f>_xlfn.XLOOKUP($H135,'03_Component'!$C:$C,'03_Component'!$B:$B)</f>
        <v>COMP-096</v>
      </c>
      <c r="E135">
        <v>3</v>
      </c>
      <c r="G135" t="s">
        <v>190</v>
      </c>
      <c r="H135" t="s">
        <v>24</v>
      </c>
    </row>
    <row r="136" spans="1:8">
      <c r="A136" s="1" t="s">
        <v>329</v>
      </c>
      <c r="B136" t="str">
        <f t="shared" si="2"/>
        <v>DIS-135</v>
      </c>
      <c r="C136" t="str">
        <f>_xlfn.XLOOKUP($G136,'03_Component'!$C:$C,'03_Component'!$B:$B)</f>
        <v>COMP-104</v>
      </c>
      <c r="D136" t="str">
        <f>_xlfn.XLOOKUP($H136,'03_Component'!$C:$C,'03_Component'!$B:$B)</f>
        <v>COMP-035</v>
      </c>
      <c r="E136">
        <v>3</v>
      </c>
      <c r="G136" t="s">
        <v>191</v>
      </c>
      <c r="H136" t="s">
        <v>27</v>
      </c>
    </row>
    <row r="137" spans="1:8">
      <c r="A137" s="1" t="s">
        <v>330</v>
      </c>
      <c r="B137" t="str">
        <f t="shared" si="2"/>
        <v>DIS-136</v>
      </c>
      <c r="C137" t="str">
        <f>_xlfn.XLOOKUP($G137,'03_Component'!$C:$C,'03_Component'!$B:$B)</f>
        <v>COMP-105</v>
      </c>
      <c r="D137" t="str">
        <f>_xlfn.XLOOKUP($H137,'03_Component'!$C:$C,'03_Component'!$B:$B)</f>
        <v>COMP-018</v>
      </c>
      <c r="E137">
        <v>2</v>
      </c>
      <c r="G137" t="s">
        <v>57</v>
      </c>
      <c r="H137" t="s">
        <v>29</v>
      </c>
    </row>
    <row r="138" spans="1:8">
      <c r="A138" s="1" t="s">
        <v>331</v>
      </c>
      <c r="B138" t="str">
        <f t="shared" si="2"/>
        <v>DIS-137</v>
      </c>
      <c r="C138" t="str">
        <f>_xlfn.XLOOKUP($G138,'03_Component'!$C:$C,'03_Component'!$B:$B)</f>
        <v>COMP-106</v>
      </c>
      <c r="D138">
        <f>_xlfn.XLOOKUP($H138,'03_Component'!$C:$C,'03_Component'!$B:$B)</f>
        <v>0</v>
      </c>
      <c r="E138">
        <v>0</v>
      </c>
      <c r="G138" t="s">
        <v>192</v>
      </c>
    </row>
    <row r="139" spans="1:8">
      <c r="A139" s="1" t="s">
        <v>332</v>
      </c>
      <c r="B139" t="str">
        <f t="shared" si="2"/>
        <v>DIS-138</v>
      </c>
      <c r="C139" t="str">
        <f>_xlfn.XLOOKUP($G139,'03_Component'!$C:$C,'03_Component'!$B:$B)</f>
        <v>COMP-107</v>
      </c>
      <c r="D139">
        <f>_xlfn.XLOOKUP($H139,'03_Component'!$C:$C,'03_Component'!$B:$B)</f>
        <v>0</v>
      </c>
      <c r="E139">
        <v>0</v>
      </c>
      <c r="G139" t="s">
        <v>26</v>
      </c>
    </row>
    <row r="140" spans="1:8">
      <c r="A140" s="1" t="s">
        <v>333</v>
      </c>
      <c r="B140" t="str">
        <f t="shared" si="2"/>
        <v>DIS-139</v>
      </c>
      <c r="C140" t="str">
        <f>_xlfn.XLOOKUP($G140,'03_Component'!$C:$C,'03_Component'!$B:$B)</f>
        <v>COMP-108</v>
      </c>
      <c r="D140">
        <f>_xlfn.XLOOKUP($H140,'03_Component'!$C:$C,'03_Component'!$B:$B)</f>
        <v>0</v>
      </c>
      <c r="E140">
        <v>0</v>
      </c>
      <c r="G140" t="s">
        <v>193</v>
      </c>
    </row>
    <row r="141" spans="1:8">
      <c r="A141" s="1" t="s">
        <v>334</v>
      </c>
      <c r="B141" t="str">
        <f t="shared" si="2"/>
        <v>DIS-140</v>
      </c>
      <c r="C141" t="str">
        <f>_xlfn.XLOOKUP($G141,'03_Component'!$C:$C,'03_Component'!$B:$B)</f>
        <v>COMP-109</v>
      </c>
      <c r="D141" t="str">
        <f>_xlfn.XLOOKUP($H141,'03_Component'!$C:$C,'03_Component'!$B:$B)</f>
        <v>COMP-065</v>
      </c>
      <c r="E141">
        <v>6</v>
      </c>
      <c r="G141" t="s">
        <v>194</v>
      </c>
      <c r="H141" t="s">
        <v>25</v>
      </c>
    </row>
    <row r="142" spans="1:8">
      <c r="A142" s="1" t="s">
        <v>335</v>
      </c>
      <c r="B142" t="str">
        <f t="shared" si="2"/>
        <v>DIS-141</v>
      </c>
      <c r="C142" t="str">
        <f>_xlfn.XLOOKUP($G142,'03_Component'!$C:$C,'03_Component'!$B:$B)</f>
        <v>COMP-109</v>
      </c>
      <c r="D142" t="str">
        <f>_xlfn.XLOOKUP($H142,'03_Component'!$C:$C,'03_Component'!$B:$B)</f>
        <v>COMP-104</v>
      </c>
      <c r="E142">
        <v>2</v>
      </c>
      <c r="G142" t="s">
        <v>194</v>
      </c>
      <c r="H142" t="s">
        <v>191</v>
      </c>
    </row>
    <row r="143" spans="1:8">
      <c r="A143" s="1" t="s">
        <v>336</v>
      </c>
      <c r="B143" t="str">
        <f t="shared" si="2"/>
        <v>DIS-142</v>
      </c>
      <c r="C143" t="str">
        <f>_xlfn.XLOOKUP($G143,'03_Component'!$C:$C,'03_Component'!$B:$B)</f>
        <v>COMP-110</v>
      </c>
      <c r="D143" t="str">
        <f>_xlfn.XLOOKUP($H143,'03_Component'!$C:$C,'03_Component'!$B:$B)</f>
        <v>COMP-042</v>
      </c>
      <c r="E143">
        <v>1</v>
      </c>
      <c r="G143" t="s">
        <v>15</v>
      </c>
      <c r="H143" t="s">
        <v>14</v>
      </c>
    </row>
    <row r="144" spans="1:8">
      <c r="A144" s="1" t="s">
        <v>337</v>
      </c>
      <c r="B144" t="str">
        <f t="shared" si="2"/>
        <v>DIS-143</v>
      </c>
      <c r="C144" t="str">
        <f>_xlfn.XLOOKUP($G144,'03_Component'!$C:$C,'03_Component'!$B:$B)</f>
        <v>COMP-110</v>
      </c>
      <c r="D144" t="str">
        <f>_xlfn.XLOOKUP($H144,'03_Component'!$C:$C,'03_Component'!$B:$B)</f>
        <v>COMP-009</v>
      </c>
      <c r="E144">
        <v>1</v>
      </c>
      <c r="G144" t="s">
        <v>15</v>
      </c>
      <c r="H144" t="s">
        <v>36</v>
      </c>
    </row>
    <row r="145" spans="1:8">
      <c r="A145" s="1" t="s">
        <v>338</v>
      </c>
      <c r="B145" t="str">
        <f t="shared" si="2"/>
        <v>DIS-144</v>
      </c>
      <c r="C145" t="str">
        <f>_xlfn.XLOOKUP($G145,'03_Component'!$C:$C,'03_Component'!$B:$B)</f>
        <v>COMP-111</v>
      </c>
      <c r="D145" t="str">
        <f>_xlfn.XLOOKUP($H145,'03_Component'!$C:$C,'03_Component'!$B:$B)</f>
        <v>COMP-020</v>
      </c>
      <c r="E145">
        <v>2</v>
      </c>
      <c r="G145" t="s">
        <v>195</v>
      </c>
      <c r="H145" t="s">
        <v>129</v>
      </c>
    </row>
    <row r="146" spans="1:8">
      <c r="A146" s="1" t="s">
        <v>339</v>
      </c>
      <c r="B146" t="str">
        <f t="shared" si="2"/>
        <v>DIS-145</v>
      </c>
      <c r="C146" t="str">
        <f>_xlfn.XLOOKUP($G146,'03_Component'!$C:$C,'03_Component'!$B:$B)</f>
        <v>COMP-111</v>
      </c>
      <c r="D146" t="str">
        <f>_xlfn.XLOOKUP($H146,'03_Component'!$C:$C,'03_Component'!$B:$B)</f>
        <v>COMP-175</v>
      </c>
      <c r="E146">
        <v>6</v>
      </c>
      <c r="G146" t="s">
        <v>195</v>
      </c>
      <c r="H146" t="s">
        <v>244</v>
      </c>
    </row>
    <row r="147" spans="1:8">
      <c r="A147" s="1" t="s">
        <v>340</v>
      </c>
      <c r="B147" t="str">
        <f t="shared" si="2"/>
        <v>DIS-146</v>
      </c>
      <c r="C147" t="str">
        <f>_xlfn.XLOOKUP($G147,'03_Component'!$C:$C,'03_Component'!$B:$B)</f>
        <v>COMP-112</v>
      </c>
      <c r="D147">
        <f>_xlfn.XLOOKUP($H147,'03_Component'!$C:$C,'03_Component'!$B:$B)</f>
        <v>0</v>
      </c>
      <c r="E147">
        <v>0</v>
      </c>
      <c r="G147" t="s">
        <v>196</v>
      </c>
    </row>
    <row r="148" spans="1:8">
      <c r="A148" s="1" t="s">
        <v>341</v>
      </c>
      <c r="B148" t="str">
        <f t="shared" si="2"/>
        <v>DIS-147</v>
      </c>
      <c r="C148" t="str">
        <f>_xlfn.XLOOKUP($G148,'03_Component'!$C:$C,'03_Component'!$B:$B)</f>
        <v>COMP-113</v>
      </c>
      <c r="D148">
        <f>_xlfn.XLOOKUP($H148,'03_Component'!$C:$C,'03_Component'!$B:$B)</f>
        <v>0</v>
      </c>
      <c r="E148">
        <v>0</v>
      </c>
      <c r="G148" t="s">
        <v>197</v>
      </c>
    </row>
    <row r="149" spans="1:8">
      <c r="A149" s="1" t="s">
        <v>342</v>
      </c>
      <c r="B149" t="str">
        <f t="shared" si="2"/>
        <v>DIS-148</v>
      </c>
      <c r="C149" t="str">
        <f>_xlfn.XLOOKUP($G149,'03_Component'!$C:$C,'03_Component'!$B:$B)</f>
        <v>COMP-114</v>
      </c>
      <c r="D149" t="str">
        <f>_xlfn.XLOOKUP($H149,'03_Component'!$C:$C,'03_Component'!$B:$B)</f>
        <v>COMP-020</v>
      </c>
      <c r="E149">
        <v>4</v>
      </c>
      <c r="G149" t="s">
        <v>198</v>
      </c>
      <c r="H149" t="s">
        <v>129</v>
      </c>
    </row>
    <row r="150" spans="1:8">
      <c r="A150" s="1" t="s">
        <v>343</v>
      </c>
      <c r="B150" t="str">
        <f t="shared" si="2"/>
        <v>DIS-149</v>
      </c>
      <c r="C150" t="str">
        <f>_xlfn.XLOOKUP($G150,'03_Component'!$C:$C,'03_Component'!$B:$B)</f>
        <v>COMP-114</v>
      </c>
      <c r="D150" t="str">
        <f>_xlfn.XLOOKUP($H150,'03_Component'!$C:$C,'03_Component'!$B:$B)</f>
        <v>COMP-175</v>
      </c>
      <c r="E150">
        <v>2</v>
      </c>
      <c r="G150" t="s">
        <v>198</v>
      </c>
      <c r="H150" t="s">
        <v>244</v>
      </c>
    </row>
    <row r="151" spans="1:8">
      <c r="A151" s="1" t="s">
        <v>344</v>
      </c>
      <c r="B151" t="str">
        <f t="shared" si="2"/>
        <v>DIS-150</v>
      </c>
      <c r="C151" t="str">
        <f>_xlfn.XLOOKUP($G151,'03_Component'!$C:$C,'03_Component'!$B:$B)</f>
        <v>COMP-115</v>
      </c>
      <c r="D151" t="str">
        <f>_xlfn.XLOOKUP($H151,'03_Component'!$C:$C,'03_Component'!$B:$B)</f>
        <v>COMP-175</v>
      </c>
      <c r="E151">
        <v>4</v>
      </c>
      <c r="G151" t="s">
        <v>10</v>
      </c>
      <c r="H151" t="s">
        <v>244</v>
      </c>
    </row>
    <row r="152" spans="1:8">
      <c r="A152" s="1" t="s">
        <v>345</v>
      </c>
      <c r="B152" t="str">
        <f t="shared" si="2"/>
        <v>DIS-151</v>
      </c>
      <c r="C152" t="str">
        <f>_xlfn.XLOOKUP($G152,'03_Component'!$C:$C,'03_Component'!$B:$B)</f>
        <v>COMP-116</v>
      </c>
      <c r="D152" t="str">
        <f>_xlfn.XLOOKUP($H152,'03_Component'!$C:$C,'03_Component'!$B:$B)</f>
        <v>COMP-002</v>
      </c>
      <c r="E152">
        <v>1</v>
      </c>
      <c r="G152" t="s">
        <v>199</v>
      </c>
      <c r="H152" t="s">
        <v>33</v>
      </c>
    </row>
    <row r="153" spans="1:8">
      <c r="A153" s="1" t="s">
        <v>346</v>
      </c>
      <c r="B153" t="str">
        <f t="shared" si="2"/>
        <v>DIS-152</v>
      </c>
      <c r="C153" t="str">
        <f>_xlfn.XLOOKUP($G153,'03_Component'!$C:$C,'03_Component'!$B:$B)</f>
        <v>COMP-116</v>
      </c>
      <c r="D153" t="str">
        <f>_xlfn.XLOOKUP($H153,'03_Component'!$C:$C,'03_Component'!$B:$B)</f>
        <v>COMP-010</v>
      </c>
      <c r="E153">
        <v>1</v>
      </c>
      <c r="G153" t="s">
        <v>199</v>
      </c>
      <c r="H153" t="s">
        <v>50</v>
      </c>
    </row>
    <row r="154" spans="1:8">
      <c r="A154" s="1" t="s">
        <v>347</v>
      </c>
      <c r="B154" t="str">
        <f t="shared" si="2"/>
        <v>DIS-153</v>
      </c>
      <c r="C154" t="str">
        <f>_xlfn.XLOOKUP($G154,'03_Component'!$C:$C,'03_Component'!$B:$B)</f>
        <v>COMP-117</v>
      </c>
      <c r="D154" t="str">
        <f>_xlfn.XLOOKUP($H154,'03_Component'!$C:$C,'03_Component'!$B:$B)</f>
        <v>COMP-018</v>
      </c>
      <c r="E154">
        <v>3</v>
      </c>
      <c r="G154" t="s">
        <v>56</v>
      </c>
      <c r="H154" t="s">
        <v>29</v>
      </c>
    </row>
    <row r="155" spans="1:8">
      <c r="A155" s="1" t="s">
        <v>348</v>
      </c>
      <c r="B155" t="str">
        <f t="shared" si="2"/>
        <v>DIS-154</v>
      </c>
      <c r="C155" t="str">
        <f>_xlfn.XLOOKUP($G155,'03_Component'!$C:$C,'03_Component'!$B:$B)</f>
        <v>COMP-118</v>
      </c>
      <c r="D155" t="str">
        <f>_xlfn.XLOOKUP($H155,'03_Component'!$C:$C,'03_Component'!$B:$B)</f>
        <v>COMP-175</v>
      </c>
      <c r="E155">
        <v>1</v>
      </c>
      <c r="G155" t="s">
        <v>200</v>
      </c>
      <c r="H155" t="s">
        <v>244</v>
      </c>
    </row>
    <row r="156" spans="1:8">
      <c r="A156" s="1" t="s">
        <v>349</v>
      </c>
      <c r="B156" t="str">
        <f t="shared" si="2"/>
        <v>DIS-155</v>
      </c>
      <c r="C156" t="str">
        <f>_xlfn.XLOOKUP($G156,'03_Component'!$C:$C,'03_Component'!$B:$B)</f>
        <v>COMP-118</v>
      </c>
      <c r="D156" t="str">
        <f>_xlfn.XLOOKUP($H156,'03_Component'!$C:$C,'03_Component'!$B:$B)</f>
        <v>COMP-107</v>
      </c>
      <c r="E156">
        <v>1</v>
      </c>
      <c r="G156" t="s">
        <v>200</v>
      </c>
      <c r="H156" t="s">
        <v>26</v>
      </c>
    </row>
    <row r="157" spans="1:8">
      <c r="A157" s="1" t="s">
        <v>350</v>
      </c>
      <c r="B157" t="str">
        <f t="shared" si="2"/>
        <v>DIS-156</v>
      </c>
      <c r="C157" t="str">
        <f>_xlfn.XLOOKUP($G157,'03_Component'!$C:$C,'03_Component'!$B:$B)</f>
        <v>COMP-119</v>
      </c>
      <c r="D157" t="str">
        <f>_xlfn.XLOOKUP($H157,'03_Component'!$C:$C,'03_Component'!$B:$B)</f>
        <v>COMP-118</v>
      </c>
      <c r="E157">
        <v>1</v>
      </c>
      <c r="G157" t="s">
        <v>201</v>
      </c>
      <c r="H157" t="s">
        <v>200</v>
      </c>
    </row>
    <row r="158" spans="1:8">
      <c r="A158" s="1" t="s">
        <v>351</v>
      </c>
      <c r="B158" t="str">
        <f t="shared" si="2"/>
        <v>DIS-157</v>
      </c>
      <c r="C158" t="str">
        <f>_xlfn.XLOOKUP($G158,'03_Component'!$C:$C,'03_Component'!$B:$B)</f>
        <v>COMP-119</v>
      </c>
      <c r="D158" t="str">
        <f>_xlfn.XLOOKUP($H158,'03_Component'!$C:$C,'03_Component'!$B:$B)</f>
        <v>COMP-175</v>
      </c>
      <c r="E158">
        <v>2</v>
      </c>
      <c r="G158" t="s">
        <v>201</v>
      </c>
      <c r="H158" t="s">
        <v>244</v>
      </c>
    </row>
    <row r="159" spans="1:8">
      <c r="A159" s="1" t="s">
        <v>352</v>
      </c>
      <c r="B159" t="str">
        <f t="shared" si="2"/>
        <v>DIS-158</v>
      </c>
      <c r="C159" t="str">
        <f>_xlfn.XLOOKUP($G159,'03_Component'!$C:$C,'03_Component'!$B:$B)</f>
        <v>COMP-120</v>
      </c>
      <c r="D159" t="str">
        <f>_xlfn.XLOOKUP($H159,'03_Component'!$C:$C,'03_Component'!$B:$B)</f>
        <v>COMP-116</v>
      </c>
      <c r="E159">
        <v>1</v>
      </c>
      <c r="G159" t="s">
        <v>202</v>
      </c>
      <c r="H159" t="s">
        <v>199</v>
      </c>
    </row>
    <row r="160" spans="1:8">
      <c r="A160" s="1" t="s">
        <v>353</v>
      </c>
      <c r="B160" t="str">
        <f t="shared" si="2"/>
        <v>DIS-159</v>
      </c>
      <c r="C160" t="str">
        <f>_xlfn.XLOOKUP($G160,'03_Component'!$C:$C,'03_Component'!$B:$B)</f>
        <v>COMP-120</v>
      </c>
      <c r="D160" t="str">
        <f>_xlfn.XLOOKUP($H160,'03_Component'!$C:$C,'03_Component'!$B:$B)</f>
        <v>COMP-092</v>
      </c>
      <c r="E160">
        <v>1</v>
      </c>
      <c r="G160" t="s">
        <v>202</v>
      </c>
      <c r="H160" t="s">
        <v>183</v>
      </c>
    </row>
    <row r="161" spans="1:8">
      <c r="A161" s="1" t="s">
        <v>354</v>
      </c>
      <c r="B161" t="str">
        <f t="shared" si="2"/>
        <v>DIS-160</v>
      </c>
      <c r="C161" t="str">
        <f>_xlfn.XLOOKUP($G161,'03_Component'!$C:$C,'03_Component'!$B:$B)</f>
        <v>COMP-121</v>
      </c>
      <c r="D161" t="str">
        <f>_xlfn.XLOOKUP($H161,'03_Component'!$C:$C,'03_Component'!$B:$B)</f>
        <v>COMP-151</v>
      </c>
      <c r="E161">
        <v>1</v>
      </c>
      <c r="G161" t="s">
        <v>203</v>
      </c>
      <c r="H161" t="s">
        <v>226</v>
      </c>
    </row>
    <row r="162" spans="1:8">
      <c r="A162" s="1" t="s">
        <v>355</v>
      </c>
      <c r="B162" t="str">
        <f t="shared" si="2"/>
        <v>DIS-161</v>
      </c>
      <c r="C162" t="str">
        <f>_xlfn.XLOOKUP($G162,'03_Component'!$C:$C,'03_Component'!$B:$B)</f>
        <v>COMP-121</v>
      </c>
      <c r="D162" t="str">
        <f>_xlfn.XLOOKUP($H162,'03_Component'!$C:$C,'03_Component'!$B:$B)</f>
        <v>COMP-146</v>
      </c>
      <c r="E162">
        <v>2</v>
      </c>
      <c r="G162" t="s">
        <v>203</v>
      </c>
      <c r="H162" t="s">
        <v>223</v>
      </c>
    </row>
    <row r="163" spans="1:8">
      <c r="A163" s="1" t="s">
        <v>356</v>
      </c>
      <c r="B163" t="str">
        <f t="shared" si="2"/>
        <v>DIS-162</v>
      </c>
      <c r="C163" t="str">
        <f>_xlfn.XLOOKUP($G163,'03_Component'!$C:$C,'03_Component'!$B:$B)</f>
        <v>COMP-122</v>
      </c>
      <c r="D163">
        <f>_xlfn.XLOOKUP($H163,'03_Component'!$C:$C,'03_Component'!$B:$B)</f>
        <v>0</v>
      </c>
      <c r="E163">
        <v>0</v>
      </c>
      <c r="G163" t="s">
        <v>204</v>
      </c>
    </row>
    <row r="164" spans="1:8">
      <c r="A164" s="1" t="s">
        <v>357</v>
      </c>
      <c r="B164" t="str">
        <f t="shared" si="2"/>
        <v>DIS-163</v>
      </c>
      <c r="C164" t="str">
        <f>_xlfn.XLOOKUP($G164,'03_Component'!$C:$C,'03_Component'!$B:$B)</f>
        <v>COMP-123</v>
      </c>
      <c r="D164" t="str">
        <f>_xlfn.XLOOKUP($H164,'03_Component'!$C:$C,'03_Component'!$B:$B)</f>
        <v>COMP-107</v>
      </c>
      <c r="E164">
        <v>2</v>
      </c>
      <c r="G164" t="s">
        <v>205</v>
      </c>
      <c r="H164" t="s">
        <v>26</v>
      </c>
    </row>
    <row r="165" spans="1:8">
      <c r="A165" s="1" t="s">
        <v>358</v>
      </c>
      <c r="B165" t="str">
        <f t="shared" si="2"/>
        <v>DIS-164</v>
      </c>
      <c r="C165" t="str">
        <f>_xlfn.XLOOKUP($G165,'03_Component'!$C:$C,'03_Component'!$B:$B)</f>
        <v>COMP-123</v>
      </c>
      <c r="D165" t="str">
        <f>_xlfn.XLOOKUP($H165,'03_Component'!$C:$C,'03_Component'!$B:$B)</f>
        <v>COMP-146</v>
      </c>
      <c r="E165">
        <v>1</v>
      </c>
      <c r="G165" t="s">
        <v>205</v>
      </c>
      <c r="H165" t="s">
        <v>223</v>
      </c>
    </row>
    <row r="166" spans="1:8">
      <c r="A166" s="1" t="s">
        <v>359</v>
      </c>
      <c r="B166" t="str">
        <f t="shared" si="2"/>
        <v>DIS-165</v>
      </c>
      <c r="C166" t="str">
        <f>_xlfn.XLOOKUP($G166,'03_Component'!$C:$C,'03_Component'!$B:$B)</f>
        <v>COMP-124</v>
      </c>
      <c r="D166">
        <f>_xlfn.XLOOKUP($H166,'03_Component'!$C:$C,'03_Component'!$B:$B)</f>
        <v>0</v>
      </c>
      <c r="E166">
        <v>0</v>
      </c>
      <c r="G166" t="s">
        <v>206</v>
      </c>
    </row>
    <row r="167" spans="1:8">
      <c r="A167" s="1" t="s">
        <v>360</v>
      </c>
      <c r="B167" t="str">
        <f t="shared" si="2"/>
        <v>DIS-166</v>
      </c>
      <c r="C167" t="str">
        <f>_xlfn.XLOOKUP($G167,'03_Component'!$C:$C,'03_Component'!$B:$B)</f>
        <v>COMP-126</v>
      </c>
      <c r="D167" t="str">
        <f>_xlfn.XLOOKUP($H167,'03_Component'!$C:$C,'03_Component'!$B:$B)</f>
        <v>COMP-091</v>
      </c>
      <c r="E167">
        <v>1</v>
      </c>
      <c r="G167" t="s">
        <v>207</v>
      </c>
      <c r="H167" t="s">
        <v>182</v>
      </c>
    </row>
    <row r="168" spans="1:8">
      <c r="A168" s="1" t="s">
        <v>361</v>
      </c>
      <c r="B168" t="str">
        <f t="shared" si="2"/>
        <v>DIS-167</v>
      </c>
      <c r="C168" t="str">
        <f>_xlfn.XLOOKUP($G168,'03_Component'!$C:$C,'03_Component'!$B:$B)</f>
        <v>COMP-126</v>
      </c>
      <c r="D168" t="str">
        <f>_xlfn.XLOOKUP($H168,'03_Component'!$C:$C,'03_Component'!$B:$B)</f>
        <v>COMP-058</v>
      </c>
      <c r="E168">
        <v>1</v>
      </c>
      <c r="G168" t="s">
        <v>207</v>
      </c>
      <c r="H168" t="s">
        <v>17</v>
      </c>
    </row>
    <row r="169" spans="1:8">
      <c r="A169" s="1" t="s">
        <v>362</v>
      </c>
      <c r="B169" t="str">
        <f t="shared" si="2"/>
        <v>DIS-168</v>
      </c>
      <c r="C169" t="str">
        <f>_xlfn.XLOOKUP($G169,'03_Component'!$C:$C,'03_Component'!$B:$B)</f>
        <v>COMP-127</v>
      </c>
      <c r="D169" t="str">
        <f>_xlfn.XLOOKUP($H169,'03_Component'!$C:$C,'03_Component'!$B:$B)</f>
        <v>COMP-157</v>
      </c>
      <c r="E169">
        <v>2</v>
      </c>
      <c r="G169" t="s">
        <v>208</v>
      </c>
      <c r="H169" t="s">
        <v>13</v>
      </c>
    </row>
    <row r="170" spans="1:8">
      <c r="A170" s="1" t="s">
        <v>363</v>
      </c>
      <c r="B170" t="str">
        <f t="shared" si="2"/>
        <v>DIS-169</v>
      </c>
      <c r="C170" t="str">
        <f>_xlfn.XLOOKUP($G170,'03_Component'!$C:$C,'03_Component'!$B:$B)</f>
        <v>COMP-127</v>
      </c>
      <c r="D170" t="str">
        <f>_xlfn.XLOOKUP($H170,'03_Component'!$C:$C,'03_Component'!$B:$B)</f>
        <v>COMP-096</v>
      </c>
      <c r="E170">
        <v>6</v>
      </c>
      <c r="G170" t="s">
        <v>208</v>
      </c>
      <c r="H170" t="s">
        <v>24</v>
      </c>
    </row>
    <row r="171" spans="1:8">
      <c r="A171" s="1" t="s">
        <v>364</v>
      </c>
      <c r="B171" t="str">
        <f t="shared" si="2"/>
        <v>DIS-170</v>
      </c>
      <c r="C171" t="str">
        <f>_xlfn.XLOOKUP($G171,'03_Component'!$C:$C,'03_Component'!$B:$B)</f>
        <v>COMP-125</v>
      </c>
      <c r="D171" t="str">
        <f>_xlfn.XLOOKUP($H171,'03_Component'!$C:$C,'03_Component'!$B:$B)</f>
        <v>COMP-002</v>
      </c>
      <c r="E171">
        <v>2</v>
      </c>
      <c r="G171" t="s">
        <v>43</v>
      </c>
      <c r="H171" t="s">
        <v>33</v>
      </c>
    </row>
    <row r="172" spans="1:8">
      <c r="A172" s="1" t="s">
        <v>365</v>
      </c>
      <c r="B172" t="str">
        <f t="shared" si="2"/>
        <v>DIS-171</v>
      </c>
      <c r="C172" t="str">
        <f>_xlfn.XLOOKUP($G172,'03_Component'!$C:$C,'03_Component'!$B:$B)</f>
        <v>COMP-125</v>
      </c>
      <c r="D172" t="str">
        <f>_xlfn.XLOOKUP($H172,'03_Component'!$C:$C,'03_Component'!$B:$B)</f>
        <v>COMP-009</v>
      </c>
      <c r="E172">
        <v>3</v>
      </c>
      <c r="G172" t="s">
        <v>43</v>
      </c>
      <c r="H172" t="s">
        <v>36</v>
      </c>
    </row>
    <row r="173" spans="1:8">
      <c r="A173" s="1" t="s">
        <v>366</v>
      </c>
      <c r="B173" t="str">
        <f t="shared" si="2"/>
        <v>DIS-172</v>
      </c>
      <c r="C173" t="str">
        <f>_xlfn.XLOOKUP($G173,'03_Component'!$C:$C,'03_Component'!$B:$B)</f>
        <v>COMP-128</v>
      </c>
      <c r="D173" t="str">
        <f>_xlfn.XLOOKUP($H173,'03_Component'!$C:$C,'03_Component'!$B:$B)</f>
        <v>COMP-018</v>
      </c>
      <c r="E173">
        <v>1</v>
      </c>
      <c r="G173" t="s">
        <v>209</v>
      </c>
      <c r="H173" t="s">
        <v>29</v>
      </c>
    </row>
    <row r="174" spans="1:8">
      <c r="A174" s="1" t="s">
        <v>367</v>
      </c>
      <c r="B174" t="str">
        <f t="shared" si="2"/>
        <v>DIS-173</v>
      </c>
      <c r="C174" t="str">
        <f>_xlfn.XLOOKUP($G174,'03_Component'!$C:$C,'03_Component'!$B:$B)</f>
        <v>COMP-129</v>
      </c>
      <c r="D174" t="str">
        <f>_xlfn.XLOOKUP($H174,'03_Component'!$C:$C,'03_Component'!$B:$B)</f>
        <v>COMP-065</v>
      </c>
      <c r="E174">
        <v>5</v>
      </c>
      <c r="G174" t="s">
        <v>210</v>
      </c>
      <c r="H174" t="s">
        <v>25</v>
      </c>
    </row>
    <row r="175" spans="1:8">
      <c r="A175" s="1" t="s">
        <v>368</v>
      </c>
      <c r="B175" t="str">
        <f t="shared" si="2"/>
        <v>DIS-174</v>
      </c>
      <c r="C175" t="str">
        <f>_xlfn.XLOOKUP($G175,'03_Component'!$C:$C,'03_Component'!$B:$B)</f>
        <v>COMP-130</v>
      </c>
      <c r="D175">
        <f>_xlfn.XLOOKUP($H175,'03_Component'!$C:$C,'03_Component'!$B:$B)</f>
        <v>0</v>
      </c>
      <c r="E175">
        <v>0</v>
      </c>
      <c r="G175" t="s">
        <v>211</v>
      </c>
    </row>
    <row r="176" spans="1:8">
      <c r="A176" s="1" t="s">
        <v>369</v>
      </c>
      <c r="B176" t="str">
        <f t="shared" si="2"/>
        <v>DIS-175</v>
      </c>
      <c r="C176" t="str">
        <f>_xlfn.XLOOKUP($G176,'03_Component'!$C:$C,'03_Component'!$B:$B)</f>
        <v>COMP-131</v>
      </c>
      <c r="D176">
        <f>_xlfn.XLOOKUP($H176,'03_Component'!$C:$C,'03_Component'!$B:$B)</f>
        <v>0</v>
      </c>
      <c r="E176">
        <v>0</v>
      </c>
      <c r="G176" t="s">
        <v>212</v>
      </c>
    </row>
    <row r="177" spans="1:8">
      <c r="A177" s="1" t="s">
        <v>645</v>
      </c>
      <c r="B177" t="str">
        <f t="shared" si="2"/>
        <v>DIS-176</v>
      </c>
      <c r="C177" t="str">
        <f>_xlfn.XLOOKUP($G177,'03_Component'!$C:$C,'03_Component'!$B:$B)</f>
        <v>COMP-132</v>
      </c>
      <c r="D177" t="str">
        <f>_xlfn.XLOOKUP($H177,'03_Component'!$C:$C,'03_Component'!$B:$B)</f>
        <v>COMP-133</v>
      </c>
      <c r="E177">
        <v>22</v>
      </c>
      <c r="G177" t="s">
        <v>213</v>
      </c>
      <c r="H177" t="s">
        <v>28</v>
      </c>
    </row>
    <row r="178" spans="1:8">
      <c r="A178" s="1" t="s">
        <v>646</v>
      </c>
      <c r="B178" t="str">
        <f t="shared" si="2"/>
        <v>DIS-177</v>
      </c>
      <c r="C178" t="str">
        <f>_xlfn.XLOOKUP($G178,'03_Component'!$C:$C,'03_Component'!$B:$B)</f>
        <v>COMP-133</v>
      </c>
      <c r="D178">
        <f>_xlfn.XLOOKUP($H178,'03_Component'!$C:$C,'03_Component'!$B:$B)</f>
        <v>0</v>
      </c>
      <c r="E178">
        <v>0</v>
      </c>
      <c r="G178" t="s">
        <v>28</v>
      </c>
    </row>
    <row r="179" spans="1:8">
      <c r="A179" s="1" t="s">
        <v>647</v>
      </c>
      <c r="B179" t="str">
        <f t="shared" si="2"/>
        <v>DIS-178</v>
      </c>
      <c r="C179" t="str">
        <f>_xlfn.XLOOKUP($G179,'03_Component'!$C:$C,'03_Component'!$B:$B)</f>
        <v>COMP-134</v>
      </c>
      <c r="D179" t="str">
        <f>_xlfn.XLOOKUP($H179,'03_Component'!$C:$C,'03_Component'!$B:$B)</f>
        <v>COMP-133</v>
      </c>
      <c r="E179">
        <v>18</v>
      </c>
      <c r="G179" t="s">
        <v>214</v>
      </c>
      <c r="H179" t="s">
        <v>28</v>
      </c>
    </row>
    <row r="180" spans="1:8">
      <c r="A180" s="1" t="s">
        <v>648</v>
      </c>
      <c r="B180" t="str">
        <f t="shared" si="2"/>
        <v>DIS-179</v>
      </c>
      <c r="C180" t="str">
        <f>_xlfn.XLOOKUP($G180,'03_Component'!$C:$C,'03_Component'!$B:$B)</f>
        <v>COMP-134</v>
      </c>
      <c r="D180" t="str">
        <f>_xlfn.XLOOKUP($H180,'03_Component'!$C:$C,'03_Component'!$B:$B)</f>
        <v>COMP-155</v>
      </c>
      <c r="E180">
        <v>3</v>
      </c>
      <c r="G180" t="s">
        <v>214</v>
      </c>
      <c r="H180" t="s">
        <v>230</v>
      </c>
    </row>
    <row r="181" spans="1:8">
      <c r="A181" s="1" t="s">
        <v>649</v>
      </c>
      <c r="B181" t="str">
        <f t="shared" si="2"/>
        <v>DIS-180</v>
      </c>
      <c r="C181" t="str">
        <f>_xlfn.XLOOKUP($G181,'03_Component'!$C:$C,'03_Component'!$B:$B)</f>
        <v>COMP-135</v>
      </c>
      <c r="D181" t="str">
        <f>_xlfn.XLOOKUP($H181,'03_Component'!$C:$C,'03_Component'!$B:$B)</f>
        <v>COMP-107</v>
      </c>
      <c r="E181">
        <v>2</v>
      </c>
      <c r="G181" t="s">
        <v>215</v>
      </c>
      <c r="H181" t="s">
        <v>26</v>
      </c>
    </row>
    <row r="182" spans="1:8">
      <c r="A182" s="1" t="s">
        <v>650</v>
      </c>
      <c r="B182" t="str">
        <f t="shared" si="2"/>
        <v>DIS-181</v>
      </c>
      <c r="C182" t="str">
        <f>_xlfn.XLOOKUP($G182,'03_Component'!$C:$C,'03_Component'!$B:$B)</f>
        <v>COMP-135</v>
      </c>
      <c r="D182" t="str">
        <f>_xlfn.XLOOKUP($H182,'03_Component'!$C:$C,'03_Component'!$B:$B)</f>
        <v>COMP-133</v>
      </c>
      <c r="E182">
        <v>2</v>
      </c>
      <c r="G182" t="s">
        <v>215</v>
      </c>
      <c r="H182" t="s">
        <v>28</v>
      </c>
    </row>
    <row r="183" spans="1:8">
      <c r="A183" s="1" t="s">
        <v>651</v>
      </c>
      <c r="B183" t="str">
        <f t="shared" si="2"/>
        <v>DIS-182</v>
      </c>
      <c r="C183" t="str">
        <f>_xlfn.XLOOKUP($G183,'03_Component'!$C:$C,'03_Component'!$B:$B)</f>
        <v>COMP-136</v>
      </c>
      <c r="D183" t="str">
        <f>_xlfn.XLOOKUP($H183,'03_Component'!$C:$C,'03_Component'!$B:$B)</f>
        <v>COMP-096</v>
      </c>
      <c r="E183">
        <v>6</v>
      </c>
      <c r="G183" t="s">
        <v>216</v>
      </c>
      <c r="H183" t="s">
        <v>24</v>
      </c>
    </row>
    <row r="184" spans="1:8">
      <c r="A184" s="1" t="s">
        <v>652</v>
      </c>
      <c r="B184" t="str">
        <f t="shared" si="2"/>
        <v>DIS-183</v>
      </c>
      <c r="C184" t="str">
        <f>_xlfn.XLOOKUP($G184,'03_Component'!$C:$C,'03_Component'!$B:$B)</f>
        <v>COMP-136</v>
      </c>
      <c r="D184" t="str">
        <f>_xlfn.XLOOKUP($H184,'03_Component'!$C:$C,'03_Component'!$B:$B)</f>
        <v>COMP-133</v>
      </c>
      <c r="E184">
        <v>3</v>
      </c>
      <c r="G184" t="s">
        <v>216</v>
      </c>
      <c r="H184" t="s">
        <v>28</v>
      </c>
    </row>
    <row r="185" spans="1:8">
      <c r="A185" s="1" t="s">
        <v>653</v>
      </c>
      <c r="B185" t="str">
        <f t="shared" si="2"/>
        <v>DIS-184</v>
      </c>
      <c r="C185" t="str">
        <f>_xlfn.XLOOKUP($G185,'03_Component'!$C:$C,'03_Component'!$B:$B)</f>
        <v>COMP-137</v>
      </c>
      <c r="D185">
        <f>_xlfn.XLOOKUP($H185,'03_Component'!$C:$C,'03_Component'!$B:$B)</f>
        <v>0</v>
      </c>
      <c r="E185">
        <v>0</v>
      </c>
      <c r="G185" t="s">
        <v>217</v>
      </c>
    </row>
    <row r="186" spans="1:8">
      <c r="A186" s="1" t="s">
        <v>654</v>
      </c>
      <c r="B186" t="str">
        <f t="shared" si="2"/>
        <v>DIS-185</v>
      </c>
      <c r="C186" t="str">
        <f>_xlfn.XLOOKUP($G186,'03_Component'!$C:$C,'03_Component'!$B:$B)</f>
        <v>COMP-138</v>
      </c>
      <c r="D186" t="str">
        <f>_xlfn.XLOOKUP($H186,'03_Component'!$C:$C,'03_Component'!$B:$B)</f>
        <v>COMP-065</v>
      </c>
      <c r="E186">
        <v>10</v>
      </c>
      <c r="G186" t="s">
        <v>218</v>
      </c>
      <c r="H186" t="s">
        <v>25</v>
      </c>
    </row>
    <row r="187" spans="1:8">
      <c r="A187" s="1" t="s">
        <v>655</v>
      </c>
      <c r="B187" t="str">
        <f t="shared" si="2"/>
        <v>DIS-186</v>
      </c>
      <c r="C187" t="str">
        <f>_xlfn.XLOOKUP($G187,'03_Component'!$C:$C,'03_Component'!$B:$B)</f>
        <v>COMP-140</v>
      </c>
      <c r="D187" t="str">
        <f>_xlfn.XLOOKUP($H187,'03_Component'!$C:$C,'03_Component'!$B:$B)</f>
        <v>COMP-107</v>
      </c>
      <c r="E187">
        <v>10</v>
      </c>
      <c r="G187" t="s">
        <v>220</v>
      </c>
      <c r="H187" t="s">
        <v>26</v>
      </c>
    </row>
    <row r="188" spans="1:8">
      <c r="A188" s="1" t="s">
        <v>656</v>
      </c>
      <c r="B188" t="str">
        <f t="shared" si="2"/>
        <v>DIS-187</v>
      </c>
      <c r="C188" t="str">
        <f>_xlfn.XLOOKUP($G188,'03_Component'!$C:$C,'03_Component'!$B:$B)</f>
        <v>COMP-140</v>
      </c>
      <c r="D188" t="str">
        <f>_xlfn.XLOOKUP($H188,'03_Component'!$C:$C,'03_Component'!$B:$B)</f>
        <v>COMP-133</v>
      </c>
      <c r="E188">
        <v>6</v>
      </c>
      <c r="G188" t="s">
        <v>220</v>
      </c>
      <c r="H188" t="s">
        <v>28</v>
      </c>
    </row>
    <row r="189" spans="1:8">
      <c r="A189" s="1" t="s">
        <v>657</v>
      </c>
      <c r="B189" t="str">
        <f t="shared" si="2"/>
        <v>DIS-188</v>
      </c>
      <c r="C189" t="str">
        <f>_xlfn.XLOOKUP($G189,'03_Component'!$C:$C,'03_Component'!$B:$B)</f>
        <v>COMP-139</v>
      </c>
      <c r="D189" t="str">
        <f>_xlfn.XLOOKUP($H189,'03_Component'!$C:$C,'03_Component'!$B:$B)</f>
        <v>COMP-065</v>
      </c>
      <c r="E189">
        <v>5</v>
      </c>
      <c r="G189" t="s">
        <v>219</v>
      </c>
      <c r="H189" t="s">
        <v>25</v>
      </c>
    </row>
    <row r="190" spans="1:8">
      <c r="A190" s="1" t="s">
        <v>658</v>
      </c>
      <c r="B190" t="str">
        <f t="shared" si="2"/>
        <v>DIS-189</v>
      </c>
      <c r="C190" t="str">
        <f>_xlfn.XLOOKUP($G190,'03_Component'!$C:$C,'03_Component'!$B:$B)</f>
        <v>COMP-139</v>
      </c>
      <c r="D190" t="str">
        <f>_xlfn.XLOOKUP($H190,'03_Component'!$C:$C,'03_Component'!$B:$B)</f>
        <v>COMP-091</v>
      </c>
      <c r="E190">
        <v>1</v>
      </c>
      <c r="G190" t="s">
        <v>219</v>
      </c>
      <c r="H190" t="s">
        <v>182</v>
      </c>
    </row>
    <row r="191" spans="1:8">
      <c r="A191" s="1" t="s">
        <v>659</v>
      </c>
      <c r="B191" t="str">
        <f t="shared" si="2"/>
        <v>DIS-190</v>
      </c>
      <c r="C191" t="str">
        <f>_xlfn.XLOOKUP($G191,'03_Component'!$C:$C,'03_Component'!$B:$B)</f>
        <v>COMP-141</v>
      </c>
      <c r="D191" t="str">
        <f>_xlfn.XLOOKUP($H191,'03_Component'!$C:$C,'03_Component'!$B:$B)</f>
        <v>COMP-096</v>
      </c>
      <c r="E191">
        <v>8</v>
      </c>
      <c r="G191" t="s">
        <v>221</v>
      </c>
      <c r="H191" t="s">
        <v>24</v>
      </c>
    </row>
    <row r="192" spans="1:8">
      <c r="A192" s="1" t="s">
        <v>660</v>
      </c>
      <c r="B192" t="str">
        <f t="shared" si="2"/>
        <v>DIS-191</v>
      </c>
      <c r="C192" t="str">
        <f>_xlfn.XLOOKUP($G192,'03_Component'!$C:$C,'03_Component'!$B:$B)</f>
        <v>COMP-142</v>
      </c>
      <c r="D192" t="str">
        <f>_xlfn.XLOOKUP($H192,'03_Component'!$C:$C,'03_Component'!$B:$B)</f>
        <v>COMP-096</v>
      </c>
      <c r="E192">
        <v>4</v>
      </c>
      <c r="G192" t="s">
        <v>7</v>
      </c>
      <c r="H192" t="s">
        <v>24</v>
      </c>
    </row>
    <row r="193" spans="1:8">
      <c r="A193" s="1" t="s">
        <v>661</v>
      </c>
      <c r="B193" t="str">
        <f t="shared" si="2"/>
        <v>DIS-192</v>
      </c>
      <c r="C193" t="str">
        <f>_xlfn.XLOOKUP($G193,'03_Component'!$C:$C,'03_Component'!$B:$B)</f>
        <v>COMP-142</v>
      </c>
      <c r="D193" t="str">
        <f>_xlfn.XLOOKUP($H193,'03_Component'!$C:$C,'03_Component'!$B:$B)</f>
        <v>COMP-093</v>
      </c>
      <c r="E193">
        <v>2</v>
      </c>
      <c r="G193" t="s">
        <v>7</v>
      </c>
      <c r="H193" t="s">
        <v>5</v>
      </c>
    </row>
    <row r="194" spans="1:8">
      <c r="A194" s="1" t="s">
        <v>662</v>
      </c>
      <c r="B194" t="str">
        <f t="shared" ref="B194:B246" si="3">_xlfn.CONCAT("DIS-",A194)</f>
        <v>DIS-193</v>
      </c>
      <c r="C194" t="str">
        <f>_xlfn.XLOOKUP($G194,'03_Component'!$C:$C,'03_Component'!$B:$B)</f>
        <v>COMP-143</v>
      </c>
      <c r="D194" t="str">
        <f>_xlfn.XLOOKUP($H194,'03_Component'!$C:$C,'03_Component'!$B:$B)</f>
        <v>COMP-158</v>
      </c>
      <c r="E194">
        <v>2</v>
      </c>
      <c r="G194" t="s">
        <v>37</v>
      </c>
      <c r="H194" t="s">
        <v>231</v>
      </c>
    </row>
    <row r="195" spans="1:8">
      <c r="A195" s="1" t="s">
        <v>663</v>
      </c>
      <c r="B195" t="str">
        <f t="shared" si="3"/>
        <v>DIS-194</v>
      </c>
      <c r="C195" t="str">
        <f>_xlfn.XLOOKUP($G195,'03_Component'!$C:$C,'03_Component'!$B:$B)</f>
        <v>COMP-143</v>
      </c>
      <c r="D195" t="str">
        <f>_xlfn.XLOOKUP($H195,'03_Component'!$C:$C,'03_Component'!$B:$B)</f>
        <v>COMP-007</v>
      </c>
      <c r="E195">
        <v>1</v>
      </c>
      <c r="G195" t="s">
        <v>37</v>
      </c>
      <c r="H195" t="s">
        <v>38</v>
      </c>
    </row>
    <row r="196" spans="1:8">
      <c r="A196" s="1" t="s">
        <v>664</v>
      </c>
      <c r="B196" t="str">
        <f t="shared" si="3"/>
        <v>DIS-195</v>
      </c>
      <c r="C196" t="str">
        <f>_xlfn.XLOOKUP($G196,'03_Component'!$C:$C,'03_Component'!$B:$B)</f>
        <v>COMP-144</v>
      </c>
      <c r="D196" t="str">
        <f>_xlfn.XLOOKUP($H196,'03_Component'!$C:$C,'03_Component'!$B:$B)</f>
        <v>COMP-096</v>
      </c>
      <c r="E196">
        <v>8</v>
      </c>
      <c r="G196" t="s">
        <v>4</v>
      </c>
      <c r="H196" t="s">
        <v>24</v>
      </c>
    </row>
    <row r="197" spans="1:8">
      <c r="A197" s="1" t="s">
        <v>665</v>
      </c>
      <c r="B197" t="str">
        <f t="shared" si="3"/>
        <v>DIS-196</v>
      </c>
      <c r="C197" t="str">
        <f>_xlfn.XLOOKUP($G197,'03_Component'!$C:$C,'03_Component'!$B:$B)</f>
        <v>COMP-144</v>
      </c>
      <c r="D197" t="str">
        <f>_xlfn.XLOOKUP($H197,'03_Component'!$C:$C,'03_Component'!$B:$B)</f>
        <v>COMP-155</v>
      </c>
      <c r="E197">
        <v>1</v>
      </c>
      <c r="G197" t="s">
        <v>4</v>
      </c>
      <c r="H197" t="s">
        <v>230</v>
      </c>
    </row>
    <row r="198" spans="1:8">
      <c r="A198" s="1" t="s">
        <v>666</v>
      </c>
      <c r="B198" t="str">
        <f t="shared" si="3"/>
        <v>DIS-197</v>
      </c>
      <c r="C198" t="str">
        <f>_xlfn.XLOOKUP($G198,'03_Component'!$C:$C,'03_Component'!$B:$B)</f>
        <v>COMP-145</v>
      </c>
      <c r="D198" t="str">
        <f>_xlfn.XLOOKUP($H198,'03_Component'!$C:$C,'03_Component'!$B:$B)</f>
        <v>COMP-096</v>
      </c>
      <c r="E198">
        <v>8</v>
      </c>
      <c r="G198" t="s">
        <v>222</v>
      </c>
      <c r="H198" t="s">
        <v>24</v>
      </c>
    </row>
    <row r="199" spans="1:8">
      <c r="A199" s="1" t="s">
        <v>667</v>
      </c>
      <c r="B199" t="str">
        <f t="shared" si="3"/>
        <v>DIS-198</v>
      </c>
      <c r="C199" t="str">
        <f>_xlfn.XLOOKUP($G199,'03_Component'!$C:$C,'03_Component'!$B:$B)</f>
        <v>COMP-146</v>
      </c>
      <c r="D199" t="str">
        <f>_xlfn.XLOOKUP($H199,'03_Component'!$C:$C,'03_Component'!$B:$B)</f>
        <v>COMP-175</v>
      </c>
      <c r="E199">
        <v>2</v>
      </c>
      <c r="G199" t="s">
        <v>223</v>
      </c>
      <c r="H199" t="s">
        <v>244</v>
      </c>
    </row>
    <row r="200" spans="1:8">
      <c r="A200" s="1" t="s">
        <v>668</v>
      </c>
      <c r="B200" t="str">
        <f t="shared" si="3"/>
        <v>DIS-199</v>
      </c>
      <c r="C200" t="str">
        <f>_xlfn.XLOOKUP($G200,'03_Component'!$C:$C,'03_Component'!$B:$B)</f>
        <v>COMP-146</v>
      </c>
      <c r="D200" t="str">
        <f>_xlfn.XLOOKUP($H200,'03_Component'!$C:$C,'03_Component'!$B:$B)</f>
        <v>COMP-096</v>
      </c>
      <c r="E200">
        <v>2</v>
      </c>
      <c r="G200" t="s">
        <v>223</v>
      </c>
      <c r="H200" t="s">
        <v>24</v>
      </c>
    </row>
    <row r="201" spans="1:8">
      <c r="A201" s="1" t="s">
        <v>669</v>
      </c>
      <c r="B201" t="str">
        <f t="shared" si="3"/>
        <v>DIS-200</v>
      </c>
      <c r="C201" t="str">
        <f>_xlfn.XLOOKUP($G201,'03_Component'!$C:$C,'03_Component'!$B:$B)</f>
        <v>COMP-147</v>
      </c>
      <c r="D201" t="str">
        <f>_xlfn.XLOOKUP($H201,'03_Component'!$C:$C,'03_Component'!$B:$B)</f>
        <v>COMP-009</v>
      </c>
      <c r="E201">
        <v>2</v>
      </c>
      <c r="G201" t="s">
        <v>9</v>
      </c>
      <c r="H201" t="s">
        <v>36</v>
      </c>
    </row>
    <row r="202" spans="1:8">
      <c r="A202" s="1" t="s">
        <v>670</v>
      </c>
      <c r="B202" t="str">
        <f t="shared" si="3"/>
        <v>DIS-201</v>
      </c>
      <c r="C202" t="str">
        <f>_xlfn.XLOOKUP($G202,'03_Component'!$C:$C,'03_Component'!$B:$B)</f>
        <v>COMP-147</v>
      </c>
      <c r="D202" t="str">
        <f>_xlfn.XLOOKUP($H202,'03_Component'!$C:$C,'03_Component'!$B:$B)</f>
        <v>COMP-093</v>
      </c>
      <c r="E202">
        <v>3</v>
      </c>
      <c r="G202" t="s">
        <v>9</v>
      </c>
      <c r="H202" t="s">
        <v>5</v>
      </c>
    </row>
    <row r="203" spans="1:8">
      <c r="A203" s="1" t="s">
        <v>671</v>
      </c>
      <c r="B203" t="str">
        <f t="shared" si="3"/>
        <v>DIS-202</v>
      </c>
      <c r="C203" t="str">
        <f>_xlfn.XLOOKUP($G203,'03_Component'!$C:$C,'03_Component'!$B:$B)</f>
        <v>COMP-148</v>
      </c>
      <c r="D203">
        <f>_xlfn.XLOOKUP($H203,'03_Component'!$C:$C,'03_Component'!$B:$B)</f>
        <v>0</v>
      </c>
      <c r="E203">
        <v>0</v>
      </c>
      <c r="G203" t="s">
        <v>224</v>
      </c>
    </row>
    <row r="204" spans="1:8">
      <c r="A204" s="1" t="s">
        <v>672</v>
      </c>
      <c r="B204" t="str">
        <f t="shared" si="3"/>
        <v>DIS-203</v>
      </c>
      <c r="C204" t="str">
        <f>_xlfn.XLOOKUP($G204,'03_Component'!$C:$C,'03_Component'!$B:$B)</f>
        <v>COMP-149</v>
      </c>
      <c r="D204" t="str">
        <f>_xlfn.XLOOKUP($H204,'03_Component'!$C:$C,'03_Component'!$B:$B)</f>
        <v>COMP-096</v>
      </c>
      <c r="E204">
        <v>2</v>
      </c>
      <c r="G204" t="s">
        <v>225</v>
      </c>
      <c r="H204" t="s">
        <v>24</v>
      </c>
    </row>
    <row r="205" spans="1:8">
      <c r="A205" s="1" t="s">
        <v>673</v>
      </c>
      <c r="B205" t="str">
        <f t="shared" si="3"/>
        <v>DIS-204</v>
      </c>
      <c r="C205" t="str">
        <f>_xlfn.XLOOKUP($G205,'03_Component'!$C:$C,'03_Component'!$B:$B)</f>
        <v>COMP-150</v>
      </c>
      <c r="D205" t="str">
        <f>_xlfn.XLOOKUP($H205,'03_Component'!$C:$C,'03_Component'!$B:$B)</f>
        <v>COMP-009</v>
      </c>
      <c r="E205">
        <v>4</v>
      </c>
      <c r="G205" t="s">
        <v>20</v>
      </c>
      <c r="H205" t="s">
        <v>36</v>
      </c>
    </row>
    <row r="206" spans="1:8">
      <c r="A206" s="1" t="s">
        <v>674</v>
      </c>
      <c r="B206" t="str">
        <f t="shared" si="3"/>
        <v>DIS-205</v>
      </c>
      <c r="C206" t="str">
        <f>_xlfn.XLOOKUP($G206,'03_Component'!$C:$C,'03_Component'!$B:$B)</f>
        <v>COMP-150</v>
      </c>
      <c r="D206" t="str">
        <f>_xlfn.XLOOKUP($H206,'03_Component'!$C:$C,'03_Component'!$B:$B)</f>
        <v>COMP-059</v>
      </c>
      <c r="E206">
        <v>2</v>
      </c>
      <c r="G206" t="s">
        <v>20</v>
      </c>
      <c r="H206" t="s">
        <v>11</v>
      </c>
    </row>
    <row r="207" spans="1:8">
      <c r="A207" s="1" t="s">
        <v>675</v>
      </c>
      <c r="B207" t="str">
        <f t="shared" si="3"/>
        <v>DIS-206</v>
      </c>
      <c r="C207" t="str">
        <f>_xlfn.XLOOKUP($G207,'03_Component'!$C:$C,'03_Component'!$B:$B)</f>
        <v>COMP-151</v>
      </c>
      <c r="D207" t="str">
        <f>_xlfn.XLOOKUP($H207,'03_Component'!$C:$C,'03_Component'!$B:$B)</f>
        <v>COMP-107</v>
      </c>
      <c r="E207">
        <v>2</v>
      </c>
      <c r="G207" t="s">
        <v>226</v>
      </c>
      <c r="H207" t="s">
        <v>26</v>
      </c>
    </row>
    <row r="208" spans="1:8">
      <c r="A208" s="1" t="s">
        <v>676</v>
      </c>
      <c r="B208" t="str">
        <f t="shared" si="3"/>
        <v>DIS-207</v>
      </c>
      <c r="C208" t="str">
        <f>_xlfn.XLOOKUP($G208,'03_Component'!$C:$C,'03_Component'!$B:$B)</f>
        <v>COMP-151</v>
      </c>
      <c r="D208" t="str">
        <f>_xlfn.XLOOKUP($H208,'03_Component'!$C:$C,'03_Component'!$B:$B)</f>
        <v>COMP-133</v>
      </c>
      <c r="E208">
        <v>2</v>
      </c>
      <c r="G208" t="s">
        <v>226</v>
      </c>
      <c r="H208" t="s">
        <v>28</v>
      </c>
    </row>
    <row r="209" spans="1:8">
      <c r="A209" s="1" t="s">
        <v>677</v>
      </c>
      <c r="B209" t="str">
        <f t="shared" si="3"/>
        <v>DIS-208</v>
      </c>
      <c r="C209" t="str">
        <f>_xlfn.XLOOKUP($G209,'03_Component'!$C:$C,'03_Component'!$B:$B)</f>
        <v>COMP-153</v>
      </c>
      <c r="D209" t="str">
        <f>_xlfn.XLOOKUP($H209,'03_Component'!$C:$C,'03_Component'!$B:$B)</f>
        <v>COMP-059</v>
      </c>
      <c r="E209">
        <v>2</v>
      </c>
      <c r="G209" t="s">
        <v>228</v>
      </c>
      <c r="H209" t="s">
        <v>11</v>
      </c>
    </row>
    <row r="210" spans="1:8">
      <c r="A210" s="1" t="s">
        <v>678</v>
      </c>
      <c r="B210" t="str">
        <f t="shared" si="3"/>
        <v>DIS-209</v>
      </c>
      <c r="C210" t="str">
        <f>_xlfn.XLOOKUP($G210,'03_Component'!$C:$C,'03_Component'!$B:$B)</f>
        <v>COMP-153</v>
      </c>
      <c r="D210" t="str">
        <f>_xlfn.XLOOKUP($H210,'03_Component'!$C:$C,'03_Component'!$B:$B)</f>
        <v>COMP-009</v>
      </c>
      <c r="E210">
        <v>1</v>
      </c>
      <c r="G210" t="s">
        <v>228</v>
      </c>
      <c r="H210" t="s">
        <v>36</v>
      </c>
    </row>
    <row r="211" spans="1:8">
      <c r="A211" s="1" t="s">
        <v>679</v>
      </c>
      <c r="B211" t="str">
        <f t="shared" si="3"/>
        <v>DIS-210</v>
      </c>
      <c r="C211" t="str">
        <f>_xlfn.XLOOKUP($G211,'03_Component'!$C:$C,'03_Component'!$B:$B)</f>
        <v>COMP-152</v>
      </c>
      <c r="D211" t="str">
        <f>_xlfn.XLOOKUP($H211,'03_Component'!$C:$C,'03_Component'!$B:$B)</f>
        <v>COMP-058</v>
      </c>
      <c r="E211">
        <v>2</v>
      </c>
      <c r="G211" t="s">
        <v>227</v>
      </c>
      <c r="H211" t="s">
        <v>17</v>
      </c>
    </row>
    <row r="212" spans="1:8">
      <c r="A212" s="1" t="s">
        <v>680</v>
      </c>
      <c r="B212" t="str">
        <f t="shared" si="3"/>
        <v>DIS-211</v>
      </c>
      <c r="C212" t="str">
        <f>_xlfn.XLOOKUP($G212,'03_Component'!$C:$C,'03_Component'!$B:$B)</f>
        <v>COMP-152</v>
      </c>
      <c r="D212" t="str">
        <f>_xlfn.XLOOKUP($H212,'03_Component'!$C:$C,'03_Component'!$B:$B)</f>
        <v>COMP-155</v>
      </c>
      <c r="E212">
        <v>2</v>
      </c>
      <c r="G212" t="s">
        <v>227</v>
      </c>
      <c r="H212" t="s">
        <v>230</v>
      </c>
    </row>
    <row r="213" spans="1:8">
      <c r="A213" s="1" t="s">
        <v>681</v>
      </c>
      <c r="B213" t="str">
        <f t="shared" si="3"/>
        <v>DIS-212</v>
      </c>
      <c r="C213" t="str">
        <f>_xlfn.XLOOKUP($G213,'03_Component'!$C:$C,'03_Component'!$B:$B)</f>
        <v>COMP-154</v>
      </c>
      <c r="D213">
        <f>_xlfn.XLOOKUP($H213,'03_Component'!$C:$C,'03_Component'!$B:$B)</f>
        <v>0</v>
      </c>
      <c r="E213">
        <v>0</v>
      </c>
      <c r="G213" t="s">
        <v>229</v>
      </c>
    </row>
    <row r="214" spans="1:8">
      <c r="A214" s="1" t="s">
        <v>682</v>
      </c>
      <c r="B214" t="str">
        <f t="shared" si="3"/>
        <v>DIS-213</v>
      </c>
      <c r="C214" t="str">
        <f>_xlfn.XLOOKUP($G214,'03_Component'!$C:$C,'03_Component'!$B:$B)</f>
        <v>COMP-155</v>
      </c>
      <c r="D214" t="str">
        <f>_xlfn.XLOOKUP($H214,'03_Component'!$C:$C,'03_Component'!$B:$B)</f>
        <v>COMP-096</v>
      </c>
      <c r="E214">
        <v>3</v>
      </c>
      <c r="G214" t="s">
        <v>230</v>
      </c>
      <c r="H214" t="s">
        <v>24</v>
      </c>
    </row>
    <row r="215" spans="1:8">
      <c r="A215" s="1" t="s">
        <v>683</v>
      </c>
      <c r="B215" t="str">
        <f t="shared" si="3"/>
        <v>DIS-214</v>
      </c>
      <c r="C215" t="str">
        <f>_xlfn.XLOOKUP($G215,'03_Component'!$C:$C,'03_Component'!$B:$B)</f>
        <v>COMP-156</v>
      </c>
      <c r="D215" t="str">
        <f>_xlfn.XLOOKUP($H215,'03_Component'!$C:$C,'03_Component'!$B:$B)</f>
        <v>COMP-093</v>
      </c>
      <c r="E215">
        <v>2</v>
      </c>
      <c r="G215" t="s">
        <v>39</v>
      </c>
      <c r="H215" t="s">
        <v>5</v>
      </c>
    </row>
    <row r="216" spans="1:8">
      <c r="A216" s="1" t="s">
        <v>684</v>
      </c>
      <c r="B216" t="str">
        <f t="shared" si="3"/>
        <v>DIS-215</v>
      </c>
      <c r="C216" t="str">
        <f>_xlfn.XLOOKUP($G216,'03_Component'!$C:$C,'03_Component'!$B:$B)</f>
        <v>COMP-156</v>
      </c>
      <c r="D216" t="str">
        <f>_xlfn.XLOOKUP($H216,'03_Component'!$C:$C,'03_Component'!$B:$B)</f>
        <v>COMP-009</v>
      </c>
      <c r="E216">
        <v>2</v>
      </c>
      <c r="G216" t="s">
        <v>39</v>
      </c>
      <c r="H216" t="s">
        <v>36</v>
      </c>
    </row>
    <row r="217" spans="1:8">
      <c r="A217" s="1" t="s">
        <v>685</v>
      </c>
      <c r="B217" t="str">
        <f t="shared" si="3"/>
        <v>DIS-216</v>
      </c>
      <c r="C217" t="str">
        <f>_xlfn.XLOOKUP($G217,'03_Component'!$C:$C,'03_Component'!$B:$B)</f>
        <v>COMP-157</v>
      </c>
      <c r="D217" t="str">
        <f>_xlfn.XLOOKUP($H217,'03_Component'!$C:$C,'03_Component'!$B:$B)</f>
        <v>COMP-104</v>
      </c>
      <c r="E217">
        <v>1</v>
      </c>
      <c r="G217" t="s">
        <v>13</v>
      </c>
      <c r="H217" t="s">
        <v>191</v>
      </c>
    </row>
    <row r="218" spans="1:8">
      <c r="A218" s="1" t="s">
        <v>686</v>
      </c>
      <c r="B218" t="str">
        <f t="shared" si="3"/>
        <v>DIS-217</v>
      </c>
      <c r="C218" t="str">
        <f>_xlfn.XLOOKUP($G218,'03_Component'!$C:$C,'03_Component'!$B:$B)</f>
        <v>COMP-157</v>
      </c>
      <c r="D218" t="str">
        <f>_xlfn.XLOOKUP($H218,'03_Component'!$C:$C,'03_Component'!$B:$B)</f>
        <v>COMP-107</v>
      </c>
      <c r="E218">
        <v>1</v>
      </c>
      <c r="G218" t="s">
        <v>13</v>
      </c>
      <c r="H218" t="s">
        <v>26</v>
      </c>
    </row>
    <row r="219" spans="1:8">
      <c r="A219" s="1" t="s">
        <v>687</v>
      </c>
      <c r="B219" t="str">
        <f t="shared" si="3"/>
        <v>DIS-218</v>
      </c>
      <c r="C219" t="str">
        <f>_xlfn.XLOOKUP($G219,'03_Component'!$C:$C,'03_Component'!$B:$B)</f>
        <v>COMP-158</v>
      </c>
      <c r="D219" t="str">
        <f>_xlfn.XLOOKUP($H219,'03_Component'!$C:$C,'03_Component'!$B:$B)</f>
        <v>COMP-107</v>
      </c>
      <c r="E219">
        <v>3</v>
      </c>
      <c r="G219" t="s">
        <v>231</v>
      </c>
      <c r="H219" t="s">
        <v>26</v>
      </c>
    </row>
    <row r="220" spans="1:8">
      <c r="A220" s="1" t="s">
        <v>688</v>
      </c>
      <c r="B220" t="str">
        <f t="shared" si="3"/>
        <v>DIS-219</v>
      </c>
      <c r="C220" t="str">
        <f>_xlfn.XLOOKUP($G220,'03_Component'!$C:$C,'03_Component'!$B:$B)</f>
        <v>COMP-158</v>
      </c>
      <c r="D220" t="str">
        <f>_xlfn.XLOOKUP($H220,'03_Component'!$C:$C,'03_Component'!$B:$B)</f>
        <v>COMP-035</v>
      </c>
      <c r="E220">
        <v>2</v>
      </c>
      <c r="G220" t="s">
        <v>231</v>
      </c>
      <c r="H220" t="s">
        <v>27</v>
      </c>
    </row>
    <row r="221" spans="1:8">
      <c r="A221" s="1" t="s">
        <v>689</v>
      </c>
      <c r="B221" t="str">
        <f t="shared" si="3"/>
        <v>DIS-220</v>
      </c>
      <c r="C221" t="str">
        <f>_xlfn.XLOOKUP($G221,'03_Component'!$C:$C,'03_Component'!$B:$B)</f>
        <v>COMP-159</v>
      </c>
      <c r="D221" t="str">
        <f>_xlfn.XLOOKUP($H221,'03_Component'!$C:$C,'03_Component'!$B:$B)</f>
        <v>COMP-065</v>
      </c>
      <c r="E221">
        <v>12</v>
      </c>
      <c r="G221" t="s">
        <v>232</v>
      </c>
      <c r="H221" t="s">
        <v>25</v>
      </c>
    </row>
    <row r="222" spans="1:8">
      <c r="A222" s="1" t="s">
        <v>690</v>
      </c>
      <c r="B222" t="str">
        <f t="shared" si="3"/>
        <v>DIS-221</v>
      </c>
      <c r="C222" t="str">
        <f>_xlfn.XLOOKUP($G222,'03_Component'!$C:$C,'03_Component'!$B:$B)</f>
        <v>COMP-160</v>
      </c>
      <c r="D222" t="str">
        <f>_xlfn.XLOOKUP($H222,'03_Component'!$C:$C,'03_Component'!$B:$B)</f>
        <v>COMP-065</v>
      </c>
      <c r="E222">
        <v>11</v>
      </c>
      <c r="G222" t="s">
        <v>233</v>
      </c>
      <c r="H222" t="s">
        <v>25</v>
      </c>
    </row>
    <row r="223" spans="1:8">
      <c r="A223" s="1" t="s">
        <v>691</v>
      </c>
      <c r="B223" t="str">
        <f t="shared" si="3"/>
        <v>DIS-222</v>
      </c>
      <c r="C223" t="str">
        <f>_xlfn.XLOOKUP($G223,'03_Component'!$C:$C,'03_Component'!$B:$B)</f>
        <v>COMP-161</v>
      </c>
      <c r="D223" t="str">
        <f>_xlfn.XLOOKUP($H223,'03_Component'!$C:$C,'03_Component'!$B:$B)</f>
        <v>COMP-133</v>
      </c>
      <c r="E223">
        <v>6</v>
      </c>
      <c r="G223" t="s">
        <v>234</v>
      </c>
      <c r="H223" t="s">
        <v>28</v>
      </c>
    </row>
    <row r="224" spans="1:8">
      <c r="A224" s="1" t="s">
        <v>692</v>
      </c>
      <c r="B224" t="str">
        <f t="shared" si="3"/>
        <v>DIS-223</v>
      </c>
      <c r="C224" t="str">
        <f>_xlfn.XLOOKUP($G224,'03_Component'!$C:$C,'03_Component'!$B:$B)</f>
        <v>COMP-161</v>
      </c>
      <c r="D224" t="str">
        <f>_xlfn.XLOOKUP($H224,'03_Component'!$C:$C,'03_Component'!$B:$B)</f>
        <v>COMP-146</v>
      </c>
      <c r="E224">
        <v>2</v>
      </c>
      <c r="G224" t="s">
        <v>234</v>
      </c>
      <c r="H224" t="s">
        <v>223</v>
      </c>
    </row>
    <row r="225" spans="1:8">
      <c r="A225" s="1" t="s">
        <v>693</v>
      </c>
      <c r="B225" t="str">
        <f t="shared" si="3"/>
        <v>DIS-224</v>
      </c>
      <c r="C225" t="str">
        <f>_xlfn.XLOOKUP($G225,'03_Component'!$C:$C,'03_Component'!$B:$B)</f>
        <v>COMP-162</v>
      </c>
      <c r="D225" t="str">
        <f>_xlfn.XLOOKUP($H225,'03_Component'!$C:$C,'03_Component'!$B:$B)</f>
        <v>COMP-009</v>
      </c>
      <c r="E225">
        <v>1</v>
      </c>
      <c r="G225" t="s">
        <v>18</v>
      </c>
      <c r="H225" t="s">
        <v>36</v>
      </c>
    </row>
    <row r="226" spans="1:8">
      <c r="A226" s="1" t="s">
        <v>694</v>
      </c>
      <c r="B226" t="str">
        <f t="shared" si="3"/>
        <v>DIS-225</v>
      </c>
      <c r="C226" t="str">
        <f>_xlfn.XLOOKUP($G226,'03_Component'!$C:$C,'03_Component'!$B:$B)</f>
        <v>COMP-162</v>
      </c>
      <c r="D226" t="str">
        <f>_xlfn.XLOOKUP($H226,'03_Component'!$C:$C,'03_Component'!$B:$B)</f>
        <v>COMP-096</v>
      </c>
      <c r="E226">
        <v>1</v>
      </c>
      <c r="G226" t="s">
        <v>18</v>
      </c>
      <c r="H226" t="s">
        <v>24</v>
      </c>
    </row>
    <row r="227" spans="1:8">
      <c r="A227" s="1" t="s">
        <v>700</v>
      </c>
      <c r="B227" t="str">
        <f t="shared" si="3"/>
        <v>DIS-226</v>
      </c>
      <c r="C227" t="str">
        <f>_xlfn.XLOOKUP($G227,'03_Component'!$C:$C,'03_Component'!$B:$B)</f>
        <v>COMP-163</v>
      </c>
      <c r="D227" t="str">
        <f>_xlfn.XLOOKUP($H227,'03_Component'!$C:$C,'03_Component'!$B:$B)</f>
        <v>COMP-107</v>
      </c>
      <c r="E227">
        <v>5</v>
      </c>
      <c r="G227" t="s">
        <v>0</v>
      </c>
      <c r="H227" t="s">
        <v>26</v>
      </c>
    </row>
    <row r="228" spans="1:8">
      <c r="A228" s="1" t="s">
        <v>701</v>
      </c>
      <c r="B228" t="str">
        <f t="shared" si="3"/>
        <v>DIS-227</v>
      </c>
      <c r="C228" t="str">
        <f>_xlfn.XLOOKUP($G228,'03_Component'!$C:$C,'03_Component'!$B:$B)</f>
        <v>COMP-163</v>
      </c>
      <c r="D228" t="str">
        <f>_xlfn.XLOOKUP($H228,'03_Component'!$C:$C,'03_Component'!$B:$B)</f>
        <v>COMP-175</v>
      </c>
      <c r="E228">
        <v>3</v>
      </c>
      <c r="G228" t="s">
        <v>0</v>
      </c>
      <c r="H228" t="s">
        <v>244</v>
      </c>
    </row>
    <row r="229" spans="1:8">
      <c r="A229" s="1" t="s">
        <v>702</v>
      </c>
      <c r="B229" t="str">
        <f t="shared" si="3"/>
        <v>DIS-228</v>
      </c>
      <c r="C229" t="str">
        <f>_xlfn.XLOOKUP($G229,'03_Component'!$C:$C,'03_Component'!$B:$B)</f>
        <v>COMP-165</v>
      </c>
      <c r="D229" t="str">
        <f>_xlfn.XLOOKUP($H229,'03_Component'!$C:$C,'03_Component'!$B:$B)</f>
        <v>COMP-065</v>
      </c>
      <c r="E229">
        <v>12</v>
      </c>
      <c r="G229" t="s">
        <v>236</v>
      </c>
      <c r="H229" t="s">
        <v>25</v>
      </c>
    </row>
    <row r="230" spans="1:8">
      <c r="A230" s="1" t="s">
        <v>703</v>
      </c>
      <c r="B230" t="str">
        <f t="shared" si="3"/>
        <v>DIS-229</v>
      </c>
      <c r="C230" t="str">
        <f>_xlfn.XLOOKUP($G230,'03_Component'!$C:$C,'03_Component'!$B:$B)</f>
        <v>COMP-164</v>
      </c>
      <c r="D230">
        <f>_xlfn.XLOOKUP($H230,'03_Component'!$C:$C,'03_Component'!$B:$B)</f>
        <v>0</v>
      </c>
      <c r="E230">
        <v>0</v>
      </c>
      <c r="G230" t="s">
        <v>235</v>
      </c>
    </row>
    <row r="231" spans="1:8">
      <c r="A231" s="1" t="s">
        <v>704</v>
      </c>
      <c r="B231" t="str">
        <f t="shared" si="3"/>
        <v>DIS-230</v>
      </c>
      <c r="C231" t="str">
        <f>_xlfn.XLOOKUP($G231,'03_Component'!$C:$C,'03_Component'!$B:$B)</f>
        <v>COMP-166</v>
      </c>
      <c r="D231" t="str">
        <f>_xlfn.XLOOKUP($H231,'03_Component'!$C:$C,'03_Component'!$B:$B)</f>
        <v>COMP-093</v>
      </c>
      <c r="E231">
        <v>1</v>
      </c>
      <c r="G231" t="s">
        <v>237</v>
      </c>
      <c r="H231" t="s">
        <v>5</v>
      </c>
    </row>
    <row r="232" spans="1:8">
      <c r="A232" s="1" t="s">
        <v>705</v>
      </c>
      <c r="B232" t="str">
        <f t="shared" si="3"/>
        <v>DIS-231</v>
      </c>
      <c r="C232" t="str">
        <f>_xlfn.XLOOKUP($G232,'03_Component'!$C:$C,'03_Component'!$B:$B)</f>
        <v>COMP-166</v>
      </c>
      <c r="D232" t="str">
        <f>_xlfn.XLOOKUP($H232,'03_Component'!$C:$C,'03_Component'!$B:$B)</f>
        <v>COMP-104</v>
      </c>
      <c r="E232">
        <v>3</v>
      </c>
      <c r="G232" t="s">
        <v>237</v>
      </c>
      <c r="H232" t="s">
        <v>191</v>
      </c>
    </row>
    <row r="233" spans="1:8">
      <c r="A233" s="1" t="s">
        <v>706</v>
      </c>
      <c r="B233" t="str">
        <f t="shared" si="3"/>
        <v>DIS-232</v>
      </c>
      <c r="C233" t="str">
        <f>_xlfn.XLOOKUP($G233,'03_Component'!$C:$C,'03_Component'!$B:$B)</f>
        <v>COMP-167</v>
      </c>
      <c r="D233" t="str">
        <f>_xlfn.XLOOKUP($H233,'03_Component'!$C:$C,'03_Component'!$B:$B)</f>
        <v>COMP-096</v>
      </c>
      <c r="E233">
        <v>4</v>
      </c>
      <c r="G233" t="s">
        <v>238</v>
      </c>
      <c r="H233" t="s">
        <v>24</v>
      </c>
    </row>
    <row r="234" spans="1:8">
      <c r="A234" s="1" t="s">
        <v>707</v>
      </c>
      <c r="B234" t="str">
        <f t="shared" si="3"/>
        <v>DIS-233</v>
      </c>
      <c r="C234" t="str">
        <f>_xlfn.XLOOKUP($G234,'03_Component'!$C:$C,'03_Component'!$B:$B)</f>
        <v>COMP-167</v>
      </c>
      <c r="D234" t="str">
        <f>_xlfn.XLOOKUP($H234,'03_Component'!$C:$C,'03_Component'!$B:$B)</f>
        <v>COMP-149</v>
      </c>
      <c r="E234">
        <v>5</v>
      </c>
      <c r="G234" t="s">
        <v>238</v>
      </c>
      <c r="H234" t="s">
        <v>225</v>
      </c>
    </row>
    <row r="235" spans="1:8">
      <c r="A235" s="1" t="s">
        <v>708</v>
      </c>
      <c r="B235" t="str">
        <f t="shared" si="3"/>
        <v>DIS-234</v>
      </c>
      <c r="C235" t="str">
        <f>_xlfn.XLOOKUP($G235,'03_Component'!$C:$C,'03_Component'!$B:$B)</f>
        <v>COMP-168</v>
      </c>
      <c r="D235">
        <f>_xlfn.XLOOKUP($H235,'03_Component'!$C:$C,'03_Component'!$B:$B)</f>
        <v>0</v>
      </c>
      <c r="E235">
        <v>0</v>
      </c>
      <c r="G235" t="s">
        <v>239</v>
      </c>
    </row>
    <row r="236" spans="1:8">
      <c r="A236" s="1" t="s">
        <v>709</v>
      </c>
      <c r="B236" t="str">
        <f t="shared" si="3"/>
        <v>DIS-235</v>
      </c>
      <c r="C236" t="str">
        <f>_xlfn.XLOOKUP($G236,'03_Component'!$C:$C,'03_Component'!$B:$B)</f>
        <v>COMP-169</v>
      </c>
      <c r="D236">
        <f>_xlfn.XLOOKUP($H236,'03_Component'!$C:$C,'03_Component'!$B:$B)</f>
        <v>0</v>
      </c>
      <c r="E236">
        <v>0</v>
      </c>
      <c r="G236" t="s">
        <v>60</v>
      </c>
    </row>
    <row r="237" spans="1:8">
      <c r="A237" s="1" t="s">
        <v>710</v>
      </c>
      <c r="B237" t="str">
        <f t="shared" si="3"/>
        <v>DIS-236</v>
      </c>
      <c r="C237" t="str">
        <f>_xlfn.XLOOKUP($G237,'03_Component'!$C:$C,'03_Component'!$B:$B)</f>
        <v>COMP-170</v>
      </c>
      <c r="D237">
        <f>_xlfn.XLOOKUP($H237,'03_Component'!$C:$C,'03_Component'!$B:$B)</f>
        <v>0</v>
      </c>
      <c r="E237">
        <v>0</v>
      </c>
      <c r="G237" t="s">
        <v>240</v>
      </c>
    </row>
    <row r="238" spans="1:8">
      <c r="A238" s="1" t="s">
        <v>711</v>
      </c>
      <c r="B238" t="str">
        <f t="shared" si="3"/>
        <v>DIS-237</v>
      </c>
      <c r="C238" t="str">
        <f>_xlfn.XLOOKUP($G238,'03_Component'!$C:$C,'03_Component'!$B:$B)</f>
        <v>COMP-171</v>
      </c>
      <c r="D238" t="str">
        <f>_xlfn.XLOOKUP($H238,'03_Component'!$C:$C,'03_Component'!$B:$B)</f>
        <v>COMP-175</v>
      </c>
      <c r="E238">
        <v>1</v>
      </c>
      <c r="G238" t="s">
        <v>241</v>
      </c>
      <c r="H238" t="s">
        <v>244</v>
      </c>
    </row>
    <row r="239" spans="1:8">
      <c r="A239" s="1" t="s">
        <v>712</v>
      </c>
      <c r="B239" t="str">
        <f t="shared" si="3"/>
        <v>DIS-238</v>
      </c>
      <c r="C239" t="str">
        <f>_xlfn.XLOOKUP($G239,'03_Component'!$C:$C,'03_Component'!$B:$B)</f>
        <v>COMP-171</v>
      </c>
      <c r="D239" t="str">
        <f>_xlfn.XLOOKUP($H239,'03_Component'!$C:$C,'03_Component'!$B:$B)</f>
        <v>COMP-133</v>
      </c>
      <c r="E239">
        <v>1</v>
      </c>
      <c r="G239" t="s">
        <v>241</v>
      </c>
      <c r="H239" t="s">
        <v>28</v>
      </c>
    </row>
    <row r="240" spans="1:8">
      <c r="A240" s="1" t="s">
        <v>713</v>
      </c>
      <c r="B240" t="str">
        <f t="shared" si="3"/>
        <v>DIS-239</v>
      </c>
      <c r="C240" t="str">
        <f>_xlfn.XLOOKUP($G240,'03_Component'!$C:$C,'03_Component'!$B:$B)</f>
        <v>COMP-172</v>
      </c>
      <c r="D240" t="str">
        <f>_xlfn.XLOOKUP($H240,'03_Component'!$C:$C,'03_Component'!$B:$B)</f>
        <v>COMP-009</v>
      </c>
      <c r="E240">
        <v>1</v>
      </c>
      <c r="G240" t="s">
        <v>6</v>
      </c>
      <c r="H240" t="s">
        <v>36</v>
      </c>
    </row>
    <row r="241" spans="1:8">
      <c r="A241" s="1" t="s">
        <v>714</v>
      </c>
      <c r="B241" t="str">
        <f t="shared" si="3"/>
        <v>DIS-240</v>
      </c>
      <c r="C241" t="str">
        <f>_xlfn.XLOOKUP($G241,'03_Component'!$C:$C,'03_Component'!$B:$B)</f>
        <v>COMP-172</v>
      </c>
      <c r="D241" t="str">
        <f>_xlfn.XLOOKUP($H241,'03_Component'!$C:$C,'03_Component'!$B:$B)</f>
        <v>COMP-059</v>
      </c>
      <c r="E241">
        <v>1</v>
      </c>
      <c r="G241" t="s">
        <v>6</v>
      </c>
      <c r="H241" t="s">
        <v>11</v>
      </c>
    </row>
    <row r="242" spans="1:8">
      <c r="A242" s="1" t="s">
        <v>715</v>
      </c>
      <c r="B242" t="str">
        <f t="shared" si="3"/>
        <v>DIS-241</v>
      </c>
      <c r="C242" t="str">
        <f>_xlfn.XLOOKUP($G242,'03_Component'!$C:$C,'03_Component'!$B:$B)</f>
        <v>COMP-173</v>
      </c>
      <c r="D242" t="str">
        <f>_xlfn.XLOOKUP($H242,'03_Component'!$C:$C,'03_Component'!$B:$B)</f>
        <v>COMP-133</v>
      </c>
      <c r="E242">
        <v>2</v>
      </c>
      <c r="G242" t="s">
        <v>242</v>
      </c>
      <c r="H242" t="s">
        <v>28</v>
      </c>
    </row>
    <row r="243" spans="1:8">
      <c r="A243" s="1" t="s">
        <v>716</v>
      </c>
      <c r="B243" t="str">
        <f t="shared" si="3"/>
        <v>DIS-242</v>
      </c>
      <c r="C243" t="str">
        <f>_xlfn.XLOOKUP($G243,'03_Component'!$C:$C,'03_Component'!$B:$B)</f>
        <v>COMP-173</v>
      </c>
      <c r="D243" t="str">
        <f>_xlfn.XLOOKUP($H243,'03_Component'!$C:$C,'03_Component'!$B:$B)</f>
        <v>COMP-033</v>
      </c>
      <c r="E243">
        <v>3</v>
      </c>
      <c r="G243" t="s">
        <v>242</v>
      </c>
      <c r="H243" t="s">
        <v>141</v>
      </c>
    </row>
    <row r="244" spans="1:8">
      <c r="A244" s="1" t="s">
        <v>717</v>
      </c>
      <c r="B244" t="str">
        <f t="shared" si="3"/>
        <v>DIS-243</v>
      </c>
      <c r="C244" t="str">
        <f>_xlfn.XLOOKUP($G244,'03_Component'!$C:$C,'03_Component'!$B:$B)</f>
        <v>COMP-174</v>
      </c>
      <c r="D244" t="str">
        <f>_xlfn.XLOOKUP($H244,'03_Component'!$C:$C,'03_Component'!$B:$B)</f>
        <v>COMP-096</v>
      </c>
      <c r="E244">
        <v>4</v>
      </c>
      <c r="G244" t="s">
        <v>243</v>
      </c>
      <c r="H244" t="s">
        <v>24</v>
      </c>
    </row>
    <row r="245" spans="1:8">
      <c r="A245" s="1" t="s">
        <v>718</v>
      </c>
      <c r="B245" t="str">
        <f t="shared" si="3"/>
        <v>DIS-244</v>
      </c>
      <c r="C245" t="str">
        <f>_xlfn.XLOOKUP($G245,'03_Component'!$C:$C,'03_Component'!$B:$B)</f>
        <v>COMP-174</v>
      </c>
      <c r="D245" t="str">
        <f>_xlfn.XLOOKUP($H245,'03_Component'!$C:$C,'03_Component'!$B:$B)</f>
        <v>COMP-104</v>
      </c>
      <c r="E245">
        <v>2</v>
      </c>
      <c r="G245" t="s">
        <v>243</v>
      </c>
      <c r="H245" t="s">
        <v>191</v>
      </c>
    </row>
    <row r="246" spans="1:8">
      <c r="A246" s="1" t="s">
        <v>719</v>
      </c>
      <c r="B246" t="str">
        <f t="shared" si="3"/>
        <v>DIS-245</v>
      </c>
      <c r="C246" t="str">
        <f>_xlfn.XLOOKUP($G246,'03_Component'!$C:$C,'03_Component'!$B:$B)</f>
        <v>COMP-175</v>
      </c>
      <c r="D246" t="str">
        <f>_xlfn.XLOOKUP($H246,'03_Component'!$C:$C,'03_Component'!$B:$B)</f>
        <v>COMP-133</v>
      </c>
      <c r="E246">
        <v>2</v>
      </c>
      <c r="G246" t="s">
        <v>244</v>
      </c>
      <c r="H246" t="s">
        <v>28</v>
      </c>
    </row>
    <row r="247" spans="1:8">
      <c r="A247" s="1" t="s">
        <v>720</v>
      </c>
    </row>
    <row r="248" spans="1:8">
      <c r="A248" s="1" t="s">
        <v>648</v>
      </c>
    </row>
    <row r="249" spans="1:8">
      <c r="A249" s="1" t="s">
        <v>649</v>
      </c>
    </row>
    <row r="250" spans="1:8">
      <c r="A250" s="1" t="s">
        <v>650</v>
      </c>
    </row>
    <row r="251" spans="1:8">
      <c r="A251" s="1" t="s">
        <v>651</v>
      </c>
    </row>
    <row r="252" spans="1:8">
      <c r="A252" s="1" t="s">
        <v>652</v>
      </c>
    </row>
    <row r="253" spans="1:8">
      <c r="A253" s="1" t="s">
        <v>653</v>
      </c>
    </row>
    <row r="254" spans="1:8">
      <c r="A254" s="1" t="s">
        <v>654</v>
      </c>
    </row>
    <row r="255" spans="1:8">
      <c r="A255" s="1" t="s">
        <v>655</v>
      </c>
    </row>
    <row r="256" spans="1:8">
      <c r="A256" s="1" t="s">
        <v>656</v>
      </c>
    </row>
    <row r="257" spans="1:1">
      <c r="A257" s="1" t="s">
        <v>657</v>
      </c>
    </row>
    <row r="258" spans="1:1">
      <c r="A258" s="1" t="s">
        <v>658</v>
      </c>
    </row>
    <row r="259" spans="1:1">
      <c r="A259" s="1" t="s">
        <v>659</v>
      </c>
    </row>
    <row r="260" spans="1:1">
      <c r="A260" s="1" t="s">
        <v>660</v>
      </c>
    </row>
    <row r="261" spans="1:1">
      <c r="A261" s="1" t="s">
        <v>661</v>
      </c>
    </row>
    <row r="262" spans="1:1">
      <c r="A262" s="1" t="s">
        <v>662</v>
      </c>
    </row>
    <row r="263" spans="1:1">
      <c r="A263" s="1" t="s">
        <v>663</v>
      </c>
    </row>
    <row r="264" spans="1:1">
      <c r="A264" s="1" t="s">
        <v>664</v>
      </c>
    </row>
    <row r="265" spans="1:1">
      <c r="A265" s="1" t="s">
        <v>665</v>
      </c>
    </row>
    <row r="266" spans="1:1">
      <c r="A266" s="1" t="s">
        <v>666</v>
      </c>
    </row>
    <row r="267" spans="1:1">
      <c r="A267" s="1" t="s">
        <v>667</v>
      </c>
    </row>
    <row r="268" spans="1:1">
      <c r="A268" s="1" t="s">
        <v>668</v>
      </c>
    </row>
    <row r="269" spans="1:1">
      <c r="A269" s="1" t="s">
        <v>669</v>
      </c>
    </row>
    <row r="270" spans="1:1">
      <c r="A270" s="1" t="s">
        <v>670</v>
      </c>
    </row>
    <row r="271" spans="1:1">
      <c r="A271" s="1" t="s">
        <v>671</v>
      </c>
    </row>
    <row r="272" spans="1:1">
      <c r="A272" s="1" t="s">
        <v>672</v>
      </c>
    </row>
    <row r="273" spans="1:1">
      <c r="A273" s="1" t="s">
        <v>673</v>
      </c>
    </row>
    <row r="274" spans="1:1">
      <c r="A274" s="1" t="s">
        <v>674</v>
      </c>
    </row>
    <row r="275" spans="1:1">
      <c r="A275" s="1" t="s">
        <v>675</v>
      </c>
    </row>
    <row r="276" spans="1:1">
      <c r="A276" s="1" t="s">
        <v>676</v>
      </c>
    </row>
    <row r="277" spans="1:1">
      <c r="A277" s="1" t="s">
        <v>677</v>
      </c>
    </row>
    <row r="278" spans="1:1">
      <c r="A278" s="1" t="s">
        <v>678</v>
      </c>
    </row>
    <row r="279" spans="1:1">
      <c r="A279" s="1" t="s">
        <v>679</v>
      </c>
    </row>
    <row r="280" spans="1:1">
      <c r="A280" s="1" t="s">
        <v>680</v>
      </c>
    </row>
    <row r="281" spans="1:1">
      <c r="A281" s="1" t="s">
        <v>681</v>
      </c>
    </row>
    <row r="282" spans="1:1">
      <c r="A282" s="1" t="s">
        <v>682</v>
      </c>
    </row>
    <row r="283" spans="1:1">
      <c r="A283" s="1" t="s">
        <v>683</v>
      </c>
    </row>
    <row r="284" spans="1:1">
      <c r="A284" s="1" t="s">
        <v>684</v>
      </c>
    </row>
    <row r="285" spans="1:1">
      <c r="A285" s="1" t="s">
        <v>685</v>
      </c>
    </row>
    <row r="286" spans="1:1">
      <c r="A286" s="1" t="s">
        <v>686</v>
      </c>
    </row>
    <row r="287" spans="1:1">
      <c r="A287" s="1" t="s">
        <v>687</v>
      </c>
    </row>
    <row r="288" spans="1:1">
      <c r="A288" s="1" t="s">
        <v>688</v>
      </c>
    </row>
    <row r="289" spans="1:1">
      <c r="A289" s="1" t="s">
        <v>689</v>
      </c>
    </row>
    <row r="290" spans="1:1">
      <c r="A290" s="1" t="s">
        <v>690</v>
      </c>
    </row>
    <row r="291" spans="1:1">
      <c r="A291" s="1" t="s">
        <v>691</v>
      </c>
    </row>
    <row r="292" spans="1:1">
      <c r="A292" s="1" t="s">
        <v>692</v>
      </c>
    </row>
    <row r="293" spans="1:1">
      <c r="A293" s="1" t="s">
        <v>693</v>
      </c>
    </row>
    <row r="294" spans="1:1">
      <c r="A294" s="1" t="s">
        <v>694</v>
      </c>
    </row>
    <row r="295" spans="1:1">
      <c r="A295" s="1" t="s">
        <v>700</v>
      </c>
    </row>
    <row r="296" spans="1:1">
      <c r="A296" s="1" t="s">
        <v>701</v>
      </c>
    </row>
    <row r="297" spans="1:1">
      <c r="A297" s="1" t="s">
        <v>702</v>
      </c>
    </row>
    <row r="298" spans="1:1">
      <c r="A298" s="1" t="s">
        <v>703</v>
      </c>
    </row>
    <row r="299" spans="1:1">
      <c r="A299" s="1" t="s">
        <v>704</v>
      </c>
    </row>
    <row r="300" spans="1:1">
      <c r="A300" s="1" t="s">
        <v>705</v>
      </c>
    </row>
    <row r="301" spans="1:1">
      <c r="A301" s="1" t="s">
        <v>706</v>
      </c>
    </row>
    <row r="302" spans="1:1">
      <c r="A302" s="1" t="s">
        <v>707</v>
      </c>
    </row>
    <row r="303" spans="1:1">
      <c r="A303" s="1" t="s">
        <v>708</v>
      </c>
    </row>
    <row r="304" spans="1:1">
      <c r="A304" s="1" t="s">
        <v>709</v>
      </c>
    </row>
    <row r="305" spans="1:1">
      <c r="A305" s="1" t="s">
        <v>710</v>
      </c>
    </row>
    <row r="306" spans="1:1">
      <c r="A306" s="1" t="s">
        <v>711</v>
      </c>
    </row>
    <row r="307" spans="1:1">
      <c r="A307" s="1" t="s">
        <v>712</v>
      </c>
    </row>
    <row r="308" spans="1:1">
      <c r="A308" s="1" t="s">
        <v>713</v>
      </c>
    </row>
    <row r="309" spans="1:1">
      <c r="A309" s="1" t="s">
        <v>714</v>
      </c>
    </row>
    <row r="310" spans="1:1">
      <c r="A310" s="1" t="s">
        <v>715</v>
      </c>
    </row>
    <row r="311" spans="1:1">
      <c r="A311" s="1" t="s">
        <v>716</v>
      </c>
    </row>
    <row r="312" spans="1:1">
      <c r="A312" s="1" t="s">
        <v>717</v>
      </c>
    </row>
    <row r="313" spans="1:1">
      <c r="A313" s="1" t="s">
        <v>718</v>
      </c>
    </row>
    <row r="314" spans="1:1">
      <c r="A314" s="1" t="s">
        <v>719</v>
      </c>
    </row>
    <row r="315" spans="1:1">
      <c r="A315" s="1" t="s">
        <v>720</v>
      </c>
    </row>
    <row r="316" spans="1:1">
      <c r="A316" s="1" t="s">
        <v>721</v>
      </c>
    </row>
    <row r="317" spans="1:1">
      <c r="A317" s="1" t="s">
        <v>722</v>
      </c>
    </row>
    <row r="318" spans="1:1">
      <c r="A318" s="1" t="s">
        <v>723</v>
      </c>
    </row>
    <row r="319" spans="1:1">
      <c r="A319" s="1" t="s">
        <v>724</v>
      </c>
    </row>
    <row r="320" spans="1:1">
      <c r="A320" s="1" t="s">
        <v>725</v>
      </c>
    </row>
    <row r="321" spans="1:1">
      <c r="A321" s="1" t="s">
        <v>726</v>
      </c>
    </row>
    <row r="322" spans="1:1">
      <c r="A322" s="1" t="s">
        <v>727</v>
      </c>
    </row>
    <row r="323" spans="1:1">
      <c r="A323" s="1" t="s">
        <v>728</v>
      </c>
    </row>
    <row r="324" spans="1:1">
      <c r="A324" s="1" t="s">
        <v>729</v>
      </c>
    </row>
    <row r="325" spans="1:1">
      <c r="A325" s="1" t="s">
        <v>730</v>
      </c>
    </row>
    <row r="326" spans="1:1">
      <c r="A326" s="1" t="s">
        <v>731</v>
      </c>
    </row>
    <row r="327" spans="1:1">
      <c r="A327" s="1" t="s">
        <v>732</v>
      </c>
    </row>
    <row r="328" spans="1:1">
      <c r="A328" s="1" t="s">
        <v>733</v>
      </c>
    </row>
    <row r="329" spans="1:1">
      <c r="A329" s="1" t="s">
        <v>734</v>
      </c>
    </row>
    <row r="330" spans="1:1">
      <c r="A330" s="1" t="s">
        <v>735</v>
      </c>
    </row>
    <row r="331" spans="1:1">
      <c r="A331" s="1" t="s">
        <v>736</v>
      </c>
    </row>
    <row r="332" spans="1:1">
      <c r="A332" s="1" t="s">
        <v>737</v>
      </c>
    </row>
    <row r="333" spans="1:1">
      <c r="A333" s="1" t="s">
        <v>738</v>
      </c>
    </row>
    <row r="334" spans="1:1">
      <c r="A334" s="1" t="s">
        <v>739</v>
      </c>
    </row>
    <row r="335" spans="1:1">
      <c r="A335" s="1" t="s">
        <v>740</v>
      </c>
    </row>
    <row r="336" spans="1:1">
      <c r="A336" s="1" t="s">
        <v>741</v>
      </c>
    </row>
    <row r="337" spans="1:1">
      <c r="A337" s="1" t="s">
        <v>742</v>
      </c>
    </row>
    <row r="338" spans="1:1">
      <c r="A338" s="1" t="s">
        <v>743</v>
      </c>
    </row>
    <row r="339" spans="1:1">
      <c r="A339" s="1" t="s">
        <v>744</v>
      </c>
    </row>
    <row r="340" spans="1:1">
      <c r="A340" s="1" t="s">
        <v>745</v>
      </c>
    </row>
    <row r="341" spans="1:1">
      <c r="A341" s="1" t="s">
        <v>746</v>
      </c>
    </row>
    <row r="342" spans="1:1">
      <c r="A342" s="1" t="s">
        <v>747</v>
      </c>
    </row>
    <row r="343" spans="1:1">
      <c r="A343" s="1" t="s">
        <v>748</v>
      </c>
    </row>
    <row r="344" spans="1:1">
      <c r="A344" s="1" t="s">
        <v>749</v>
      </c>
    </row>
    <row r="345" spans="1:1">
      <c r="A345" s="1" t="s">
        <v>750</v>
      </c>
    </row>
    <row r="346" spans="1:1">
      <c r="A346" s="1" t="s">
        <v>751</v>
      </c>
    </row>
    <row r="347" spans="1:1">
      <c r="A347" s="1" t="s">
        <v>752</v>
      </c>
    </row>
    <row r="348" spans="1:1">
      <c r="A348" s="1" t="s">
        <v>753</v>
      </c>
    </row>
    <row r="349" spans="1:1">
      <c r="A349" s="1" t="s">
        <v>754</v>
      </c>
    </row>
    <row r="350" spans="1:1">
      <c r="A350" s="1" t="s">
        <v>755</v>
      </c>
    </row>
    <row r="351" spans="1:1">
      <c r="A351" s="1" t="s">
        <v>756</v>
      </c>
    </row>
    <row r="352" spans="1:1">
      <c r="A352" s="1" t="s">
        <v>757</v>
      </c>
    </row>
    <row r="353" spans="1:1">
      <c r="A353" s="1" t="s">
        <v>758</v>
      </c>
    </row>
    <row r="354" spans="1:1">
      <c r="A354" s="1" t="s">
        <v>759</v>
      </c>
    </row>
    <row r="355" spans="1:1">
      <c r="A355" s="1" t="s">
        <v>760</v>
      </c>
    </row>
    <row r="356" spans="1:1">
      <c r="A356" s="1" t="s">
        <v>761</v>
      </c>
    </row>
    <row r="357" spans="1:1">
      <c r="A357" s="1" t="s">
        <v>762</v>
      </c>
    </row>
    <row r="358" spans="1:1">
      <c r="A358" s="1" t="s">
        <v>763</v>
      </c>
    </row>
    <row r="359" spans="1:1">
      <c r="A359" s="1" t="s">
        <v>764</v>
      </c>
    </row>
    <row r="360" spans="1:1">
      <c r="A360" s="1" t="s">
        <v>765</v>
      </c>
    </row>
    <row r="361" spans="1:1">
      <c r="A361" s="1" t="s">
        <v>766</v>
      </c>
    </row>
    <row r="362" spans="1:1">
      <c r="A362" s="1" t="s">
        <v>767</v>
      </c>
    </row>
    <row r="363" spans="1:1">
      <c r="A363" s="1" t="s">
        <v>768</v>
      </c>
    </row>
    <row r="364" spans="1:1">
      <c r="A364" s="1" t="s">
        <v>769</v>
      </c>
    </row>
    <row r="365" spans="1:1">
      <c r="A365" s="1" t="s">
        <v>770</v>
      </c>
    </row>
    <row r="366" spans="1:1">
      <c r="A366" s="1" t="s">
        <v>771</v>
      </c>
    </row>
    <row r="367" spans="1:1">
      <c r="A367" s="1" t="s">
        <v>772</v>
      </c>
    </row>
    <row r="368" spans="1:1">
      <c r="A368" s="1" t="s">
        <v>773</v>
      </c>
    </row>
    <row r="369" spans="1:1">
      <c r="A369" s="1" t="s">
        <v>774</v>
      </c>
    </row>
    <row r="370" spans="1:1">
      <c r="A370" s="1" t="s">
        <v>775</v>
      </c>
    </row>
    <row r="371" spans="1:1">
      <c r="A371" s="1" t="s">
        <v>776</v>
      </c>
    </row>
    <row r="372" spans="1:1">
      <c r="A372" s="1" t="s">
        <v>777</v>
      </c>
    </row>
    <row r="373" spans="1:1">
      <c r="A373" s="1" t="s">
        <v>778</v>
      </c>
    </row>
    <row r="374" spans="1:1">
      <c r="A374" s="1" t="s">
        <v>779</v>
      </c>
    </row>
    <row r="375" spans="1:1">
      <c r="A375" s="1" t="s">
        <v>780</v>
      </c>
    </row>
    <row r="376" spans="1:1">
      <c r="A376" s="1" t="s">
        <v>781</v>
      </c>
    </row>
    <row r="377" spans="1:1">
      <c r="A377" s="1" t="s">
        <v>782</v>
      </c>
    </row>
    <row r="378" spans="1:1">
      <c r="A378" s="1" t="s">
        <v>783</v>
      </c>
    </row>
    <row r="379" spans="1:1">
      <c r="A379" s="1" t="s">
        <v>784</v>
      </c>
    </row>
    <row r="380" spans="1:1">
      <c r="A380" s="1" t="s">
        <v>785</v>
      </c>
    </row>
    <row r="381" spans="1:1">
      <c r="A381" s="1" t="s">
        <v>786</v>
      </c>
    </row>
    <row r="382" spans="1:1">
      <c r="A382" s="1" t="s">
        <v>787</v>
      </c>
    </row>
    <row r="383" spans="1:1">
      <c r="A383" s="1" t="s">
        <v>788</v>
      </c>
    </row>
    <row r="384" spans="1:1">
      <c r="A384" s="1" t="s">
        <v>789</v>
      </c>
    </row>
    <row r="385" spans="1:1">
      <c r="A385" s="1" t="s">
        <v>790</v>
      </c>
    </row>
    <row r="386" spans="1:1">
      <c r="A386" s="1" t="s">
        <v>791</v>
      </c>
    </row>
    <row r="387" spans="1:1">
      <c r="A387" s="1" t="s">
        <v>792</v>
      </c>
    </row>
    <row r="388" spans="1:1">
      <c r="A388" s="1" t="s">
        <v>793</v>
      </c>
    </row>
    <row r="389" spans="1:1">
      <c r="A389" s="1" t="s">
        <v>794</v>
      </c>
    </row>
    <row r="390" spans="1:1">
      <c r="A390" s="1" t="s">
        <v>795</v>
      </c>
    </row>
    <row r="391" spans="1:1">
      <c r="A391" s="1" t="s">
        <v>796</v>
      </c>
    </row>
    <row r="392" spans="1:1">
      <c r="A392" s="1" t="s">
        <v>797</v>
      </c>
    </row>
    <row r="393" spans="1:1">
      <c r="A393" s="1" t="s">
        <v>798</v>
      </c>
    </row>
    <row r="394" spans="1:1">
      <c r="A394" s="1" t="s">
        <v>799</v>
      </c>
    </row>
    <row r="395" spans="1:1">
      <c r="A395" s="1" t="s">
        <v>800</v>
      </c>
    </row>
    <row r="396" spans="1:1">
      <c r="A396" s="1" t="s">
        <v>801</v>
      </c>
    </row>
    <row r="397" spans="1:1">
      <c r="A397" s="1" t="s">
        <v>802</v>
      </c>
    </row>
    <row r="398" spans="1:1">
      <c r="A398" s="1" t="s">
        <v>803</v>
      </c>
    </row>
    <row r="399" spans="1:1">
      <c r="A399" s="1" t="s">
        <v>804</v>
      </c>
    </row>
    <row r="400" spans="1:1">
      <c r="A400" s="1" t="s">
        <v>805</v>
      </c>
    </row>
    <row r="401" spans="1:1">
      <c r="A401" s="1" t="s">
        <v>806</v>
      </c>
    </row>
    <row r="402" spans="1:1">
      <c r="A402" s="1" t="s">
        <v>807</v>
      </c>
    </row>
    <row r="403" spans="1:1">
      <c r="A403" s="1" t="s">
        <v>808</v>
      </c>
    </row>
    <row r="404" spans="1:1">
      <c r="A404" s="1" t="s">
        <v>809</v>
      </c>
    </row>
    <row r="405" spans="1:1">
      <c r="A405" s="1" t="s">
        <v>810</v>
      </c>
    </row>
    <row r="406" spans="1:1">
      <c r="A406" s="1" t="s">
        <v>811</v>
      </c>
    </row>
    <row r="407" spans="1:1">
      <c r="A407" s="1" t="s">
        <v>812</v>
      </c>
    </row>
    <row r="408" spans="1:1">
      <c r="A408" s="1" t="s">
        <v>813</v>
      </c>
    </row>
    <row r="409" spans="1:1">
      <c r="A409" s="1" t="s">
        <v>814</v>
      </c>
    </row>
    <row r="410" spans="1:1">
      <c r="A410" s="1" t="s">
        <v>815</v>
      </c>
    </row>
    <row r="411" spans="1:1">
      <c r="A411" s="1" t="s">
        <v>816</v>
      </c>
    </row>
    <row r="412" spans="1:1">
      <c r="A412" s="1" t="s">
        <v>817</v>
      </c>
    </row>
    <row r="413" spans="1:1">
      <c r="A413" s="1" t="s">
        <v>818</v>
      </c>
    </row>
    <row r="414" spans="1:1">
      <c r="A414" s="1" t="s">
        <v>819</v>
      </c>
    </row>
    <row r="415" spans="1:1">
      <c r="A415" s="1" t="s">
        <v>820</v>
      </c>
    </row>
    <row r="416" spans="1:1">
      <c r="A416" s="1" t="s">
        <v>821</v>
      </c>
    </row>
    <row r="417" spans="1:1">
      <c r="A417" s="1" t="s">
        <v>822</v>
      </c>
    </row>
    <row r="418" spans="1:1">
      <c r="A418" s="1" t="s">
        <v>823</v>
      </c>
    </row>
    <row r="419" spans="1:1">
      <c r="A419" s="1" t="s">
        <v>824</v>
      </c>
    </row>
    <row r="420" spans="1:1">
      <c r="A420" s="1" t="s">
        <v>825</v>
      </c>
    </row>
    <row r="421" spans="1:1">
      <c r="A421" s="1" t="s">
        <v>826</v>
      </c>
    </row>
    <row r="422" spans="1:1">
      <c r="A422" s="1" t="s">
        <v>827</v>
      </c>
    </row>
    <row r="423" spans="1:1">
      <c r="A423" s="1" t="s">
        <v>828</v>
      </c>
    </row>
    <row r="424" spans="1:1">
      <c r="A424" s="1" t="s">
        <v>829</v>
      </c>
    </row>
    <row r="425" spans="1:1">
      <c r="A425" s="1" t="s">
        <v>830</v>
      </c>
    </row>
    <row r="426" spans="1:1">
      <c r="A426" s="1" t="s">
        <v>831</v>
      </c>
    </row>
    <row r="427" spans="1:1">
      <c r="A427" s="1" t="s">
        <v>832</v>
      </c>
    </row>
    <row r="428" spans="1:1">
      <c r="A428" s="1" t="s">
        <v>833</v>
      </c>
    </row>
    <row r="429" spans="1:1">
      <c r="A429" s="1" t="s">
        <v>834</v>
      </c>
    </row>
    <row r="430" spans="1:1">
      <c r="A430" s="1" t="s">
        <v>835</v>
      </c>
    </row>
    <row r="431" spans="1:1">
      <c r="A431" s="1" t="s">
        <v>836</v>
      </c>
    </row>
    <row r="432" spans="1:1">
      <c r="A432" s="1" t="s">
        <v>837</v>
      </c>
    </row>
    <row r="433" spans="1:1">
      <c r="A433" s="1" t="s">
        <v>838</v>
      </c>
    </row>
    <row r="434" spans="1:1">
      <c r="A434" s="1" t="s">
        <v>839</v>
      </c>
    </row>
    <row r="435" spans="1:1">
      <c r="A435" s="1" t="s">
        <v>840</v>
      </c>
    </row>
    <row r="436" spans="1:1">
      <c r="A436" s="1" t="s">
        <v>841</v>
      </c>
    </row>
    <row r="437" spans="1:1">
      <c r="A437" s="1" t="s">
        <v>842</v>
      </c>
    </row>
    <row r="438" spans="1:1">
      <c r="A438" s="1" t="s">
        <v>843</v>
      </c>
    </row>
    <row r="439" spans="1:1">
      <c r="A439" s="1" t="s">
        <v>844</v>
      </c>
    </row>
    <row r="440" spans="1:1">
      <c r="A440" s="1" t="s">
        <v>845</v>
      </c>
    </row>
    <row r="441" spans="1:1">
      <c r="A441" s="1" t="s">
        <v>846</v>
      </c>
    </row>
    <row r="442" spans="1:1">
      <c r="A442" s="1" t="s">
        <v>847</v>
      </c>
    </row>
    <row r="443" spans="1:1">
      <c r="A443" s="1" t="s">
        <v>848</v>
      </c>
    </row>
    <row r="444" spans="1:1">
      <c r="A444" s="1" t="s">
        <v>849</v>
      </c>
    </row>
    <row r="445" spans="1:1">
      <c r="A445" s="1" t="s">
        <v>850</v>
      </c>
    </row>
    <row r="446" spans="1:1">
      <c r="A446" s="1" t="s">
        <v>851</v>
      </c>
    </row>
    <row r="447" spans="1:1">
      <c r="A447" s="1" t="s">
        <v>852</v>
      </c>
    </row>
    <row r="448" spans="1:1">
      <c r="A448" s="1" t="s">
        <v>853</v>
      </c>
    </row>
    <row r="449" spans="1:1">
      <c r="A449" s="1" t="s">
        <v>854</v>
      </c>
    </row>
    <row r="450" spans="1:1">
      <c r="A450" s="1" t="s">
        <v>855</v>
      </c>
    </row>
    <row r="451" spans="1:1">
      <c r="A451" s="1" t="s">
        <v>856</v>
      </c>
    </row>
    <row r="452" spans="1:1">
      <c r="A452" s="1" t="s">
        <v>857</v>
      </c>
    </row>
    <row r="453" spans="1:1">
      <c r="A453" s="1" t="s">
        <v>858</v>
      </c>
    </row>
    <row r="454" spans="1:1">
      <c r="A454" s="1" t="s">
        <v>859</v>
      </c>
    </row>
    <row r="455" spans="1:1">
      <c r="A455" s="1" t="s">
        <v>860</v>
      </c>
    </row>
    <row r="456" spans="1:1">
      <c r="A456" s="1" t="s">
        <v>861</v>
      </c>
    </row>
    <row r="457" spans="1:1">
      <c r="A457" s="1" t="s">
        <v>862</v>
      </c>
    </row>
    <row r="458" spans="1:1">
      <c r="A458" s="1" t="s">
        <v>863</v>
      </c>
    </row>
    <row r="459" spans="1:1">
      <c r="A459" s="1" t="s">
        <v>864</v>
      </c>
    </row>
    <row r="460" spans="1:1">
      <c r="A460" s="1" t="s">
        <v>865</v>
      </c>
    </row>
    <row r="461" spans="1:1">
      <c r="A461" s="1" t="s">
        <v>866</v>
      </c>
    </row>
    <row r="462" spans="1:1">
      <c r="A462" s="1" t="s">
        <v>867</v>
      </c>
    </row>
    <row r="463" spans="1:1">
      <c r="A463" s="1" t="s">
        <v>868</v>
      </c>
    </row>
    <row r="464" spans="1:1">
      <c r="A464" s="1" t="s">
        <v>869</v>
      </c>
    </row>
    <row r="465" spans="1:1">
      <c r="A465" s="1" t="s">
        <v>870</v>
      </c>
    </row>
    <row r="466" spans="1:1">
      <c r="A466" s="1" t="s">
        <v>871</v>
      </c>
    </row>
    <row r="467" spans="1:1">
      <c r="A467" s="1" t="s">
        <v>872</v>
      </c>
    </row>
    <row r="468" spans="1:1">
      <c r="A468" s="1" t="s">
        <v>873</v>
      </c>
    </row>
    <row r="469" spans="1:1">
      <c r="A469" s="1" t="s">
        <v>874</v>
      </c>
    </row>
    <row r="470" spans="1:1">
      <c r="A470" s="1" t="s">
        <v>875</v>
      </c>
    </row>
    <row r="471" spans="1:1">
      <c r="A471" s="1" t="s">
        <v>876</v>
      </c>
    </row>
    <row r="472" spans="1:1">
      <c r="A472" s="1" t="s">
        <v>877</v>
      </c>
    </row>
    <row r="473" spans="1:1">
      <c r="A473" s="1" t="s">
        <v>878</v>
      </c>
    </row>
    <row r="474" spans="1:1">
      <c r="A474" s="1" t="s">
        <v>879</v>
      </c>
    </row>
    <row r="475" spans="1:1">
      <c r="A475" s="1" t="s">
        <v>880</v>
      </c>
    </row>
    <row r="476" spans="1:1">
      <c r="A476" s="1" t="s">
        <v>881</v>
      </c>
    </row>
    <row r="477" spans="1:1">
      <c r="A477" s="1" t="s">
        <v>882</v>
      </c>
    </row>
    <row r="478" spans="1:1">
      <c r="A478" s="1" t="s">
        <v>883</v>
      </c>
    </row>
    <row r="479" spans="1:1">
      <c r="A479" s="1" t="s">
        <v>884</v>
      </c>
    </row>
    <row r="480" spans="1:1">
      <c r="A480" s="1" t="s">
        <v>885</v>
      </c>
    </row>
    <row r="481" spans="1:1">
      <c r="A481" s="1" t="s">
        <v>886</v>
      </c>
    </row>
    <row r="482" spans="1:1">
      <c r="A482" s="1" t="s">
        <v>887</v>
      </c>
    </row>
    <row r="483" spans="1:1">
      <c r="A483" s="1" t="s">
        <v>888</v>
      </c>
    </row>
    <row r="484" spans="1:1">
      <c r="A484" s="1" t="s">
        <v>889</v>
      </c>
    </row>
  </sheetData>
  <phoneticPr fontId="6"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E6ACA-E7D0-47CD-84E5-0D2F70D0A645}">
  <dimension ref="B2:I20"/>
  <sheetViews>
    <sheetView workbookViewId="0">
      <selection activeCell="C2" sqref="C2"/>
    </sheetView>
  </sheetViews>
  <sheetFormatPr defaultRowHeight="15"/>
  <cols>
    <col min="1" max="1" width="5.85546875" customWidth="1"/>
    <col min="2" max="2" width="34.42578125" bestFit="1" customWidth="1"/>
    <col min="3" max="3" width="35.140625" bestFit="1" customWidth="1"/>
    <col min="5" max="5" width="10.42578125" bestFit="1" customWidth="1"/>
    <col min="6" max="6" width="19.42578125" bestFit="1" customWidth="1"/>
    <col min="7" max="7" width="15" bestFit="1" customWidth="1"/>
    <col min="8" max="8" width="30.7109375" bestFit="1" customWidth="1"/>
    <col min="9" max="9" width="17.5703125" bestFit="1" customWidth="1"/>
  </cols>
  <sheetData>
    <row r="2" spans="2:9" ht="24.75" thickBot="1">
      <c r="B2" s="5" t="s">
        <v>890</v>
      </c>
      <c r="C2" s="7" t="s">
        <v>38</v>
      </c>
    </row>
    <row r="3" spans="2:9" ht="15.75" thickTop="1"/>
    <row r="4" spans="2:9" ht="20.25" thickBot="1">
      <c r="B4" s="4" t="s">
        <v>891</v>
      </c>
      <c r="C4" s="6" t="s">
        <v>21</v>
      </c>
      <c r="D4" s="6" t="s">
        <v>22</v>
      </c>
      <c r="E4" s="6" t="s">
        <v>62</v>
      </c>
      <c r="F4" s="6" t="s">
        <v>893</v>
      </c>
      <c r="G4" s="6" t="s">
        <v>894</v>
      </c>
      <c r="H4" s="6" t="s">
        <v>895</v>
      </c>
      <c r="I4" s="6" t="s">
        <v>896</v>
      </c>
    </row>
    <row r="5" spans="2:9" ht="15.75" thickTop="1">
      <c r="C5" t="str">
        <f t="array" ref="C5:I5">_xlfn.LET(_xlpm.compID,IFERROR(_xlfn.XLOOKUP(C2,tblComponent[ComponentName],tblComponent[ComponentID]),""),_xlpm.name,IFERROR(_xlfn.XLOOKUP(_xlpm.compID,tblComponent[ComponentID],tblComponent[ComponentName]),"Not Found"),_xlpm.ComponentRarity,IFERROR(_xlfn.XLOOKUP(_xlpm.compID,tblComponent[ComponentID],tblComponent[ComponentRarity]),""),_xlpm.price,IFERROR(_xlfn.XLOOKUP(_xlpm.compID,tblComponent[ComponentID],tblComponent[ComponentSellPrice]),""),_xlpm.totalNeeded,IFERROR(SUMIFS(tblComponentUsage[UsageQuantity],tblComponentUsage[ComponentID],_xlpm.compID),0),_xlpm.uses,IF(_xlpm.compID="","No uses",IFERROR(_xlfn.TEXTJOIN(", ",TRUE,_xlfn._xlws.FILTER(tblCraftable[CraftableName]&amp;" ("&amp;tblComponentUsage[UsageQuantity]&amp;")",tblComponentUsage[ComponentID]=_xlpm.compID)),"No uses")),_xlpm.Location,IF(_xlpm.compID="","Unknown location",_xlfn.LET(_xlpm.locationIDs,_xlfn._xlws.FILTER(tblComponentLocation[LocationID],tblComponentLocation[ComponentID]=_xlpm.compID),_xlpm.locationNames,_xlfn.IFNA(_xlfn.XLOOKUP(_xlpm.locationIDs,tblLocation[LocationID],tblLocation[LocationName]),"#MISSING"),_xlfn.TEXTJOIN(", ",TRUE,_xlpm.locationNames))),_xlpm.dismantles,IF(_xlpm.compID="","No dismantle",IFERROR(_xlfn.TEXTJOIN(", ",TRUE,_xlfn._xlws.FILTER(tblComponent[ComponentName]&amp;" ("&amp;tblDismantleResults[Quantity]&amp;"x)",(tblDismantleResults[SourceComponentID]=_xlpm.compID)*(tblDismantleResults[ResultComponentID]=tblComponent[ComponentID]))),"No dismantle")),_xlfn.HSTACK(_xlpm.name,_xlpm.ComponentRarity,_xlpm.price,_xlpm.totalNeeded,_xlpm.uses,_xlpm.Location,_xlpm.dismantles))</f>
        <v>Antiseptic</v>
      </c>
      <c r="D5" t="str">
        <v>Blue</v>
      </c>
      <c r="E5">
        <v>1000</v>
      </c>
      <c r="F5">
        <v>9</v>
      </c>
      <c r="G5" t="str">
        <v>No uses</v>
      </c>
      <c r="H5" t="str">
        <v>Medical</v>
      </c>
      <c r="I5" t="str">
        <v>No dismantle</v>
      </c>
    </row>
    <row r="8" spans="2:9">
      <c r="B8" s="3"/>
    </row>
    <row r="10" spans="2:9">
      <c r="B10" s="3"/>
    </row>
    <row r="11" spans="2:9">
      <c r="B11" s="3"/>
    </row>
    <row r="14" spans="2:9">
      <c r="B14" s="3"/>
    </row>
    <row r="15" spans="2:9">
      <c r="B15" s="3"/>
    </row>
    <row r="16" spans="2:9">
      <c r="B16" s="3"/>
    </row>
    <row r="20" spans="2:2">
      <c r="B20" s="3"/>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33EAE36-45FF-44E8-9AB0-9425C24D8E0A}">
          <x14:formula1>
            <xm:f>'03_Component'!$C$2:$C$176</xm:f>
          </x14:formula1>
          <xm:sqref>C2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PowerDashboard</vt:lpstr>
      <vt:lpstr>01_Craftable</vt:lpstr>
      <vt:lpstr>02_Location</vt:lpstr>
      <vt:lpstr>03_Component</vt:lpstr>
      <vt:lpstr>04_ComponentUsage</vt:lpstr>
      <vt:lpstr>05_ComponentLocation</vt:lpstr>
      <vt:lpstr>06_DismantleResults</vt:lpstr>
      <vt:lpstr>Dashboard</vt:lpstr>
      <vt:lpstr>CraftableID</vt:lpstr>
      <vt:lpstr>CraftableName</vt:lpstr>
      <vt:lpstr>LocationID</vt:lpstr>
      <vt:lpstr>LocationName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August</dc:creator>
  <cp:lastModifiedBy>August</cp:lastModifiedBy>
  <dcterms:created xsi:type="dcterms:W3CDTF">2025-11-02T00:51:35Z</dcterms:created>
  <dcterms:modified xsi:type="dcterms:W3CDTF">2025-11-03T21:32:15Z</dcterms:modified>
</cp:coreProperties>
</file>